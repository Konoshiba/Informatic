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Vkono\Desktop\Лапочки\инфушечка\"/>
    </mc:Choice>
  </mc:AlternateContent>
  <xr:revisionPtr revIDLastSave="0" documentId="13_ncr:1_{336426A7-3121-4DFA-8488-BC15F10C27E4}" xr6:coauthVersionLast="47" xr6:coauthVersionMax="47" xr10:uidLastSave="{00000000-0000-0000-0000-000000000000}"/>
  <bookViews>
    <workbookView xWindow="-110" yWindow="-110" windowWidth="19420" windowHeight="10420" xr2:uid="{A9AD97A2-DC34-41DF-BC6F-CFA09DBC5AB7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42" i="1" l="1"/>
  <c r="AA38" i="1"/>
  <c r="AA34" i="1"/>
  <c r="AA30" i="1"/>
  <c r="AA26" i="1"/>
  <c r="AA18" i="1"/>
  <c r="Z4" i="1"/>
  <c r="G4" i="1"/>
  <c r="F4" i="1"/>
  <c r="B26" i="1"/>
  <c r="Z15" i="1"/>
  <c r="B4" i="1"/>
  <c r="J43" i="1" l="1"/>
  <c r="O43" i="1"/>
  <c r="T43" i="1"/>
  <c r="J42" i="1"/>
  <c r="O42" i="1"/>
  <c r="T42" i="1"/>
  <c r="J39" i="1"/>
  <c r="O39" i="1"/>
  <c r="T39" i="1"/>
  <c r="J38" i="1"/>
  <c r="O38" i="1"/>
  <c r="T38" i="1"/>
  <c r="J35" i="1"/>
  <c r="O35" i="1"/>
  <c r="T35" i="1"/>
  <c r="J34" i="1"/>
  <c r="O34" i="1"/>
  <c r="T34" i="1"/>
  <c r="J31" i="1"/>
  <c r="O31" i="1"/>
  <c r="T31" i="1"/>
  <c r="J30" i="1"/>
  <c r="O30" i="1"/>
  <c r="T30" i="1"/>
  <c r="J27" i="1"/>
  <c r="O27" i="1"/>
  <c r="T27" i="1"/>
  <c r="J26" i="1"/>
  <c r="O26" i="1"/>
  <c r="T26" i="1"/>
  <c r="J23" i="1"/>
  <c r="O23" i="1"/>
  <c r="T23" i="1"/>
  <c r="J22" i="1"/>
  <c r="O22" i="1"/>
  <c r="T22" i="1"/>
  <c r="J19" i="1"/>
  <c r="O19" i="1"/>
  <c r="T19" i="1"/>
  <c r="J18" i="1"/>
  <c r="O18" i="1"/>
  <c r="T18" i="1"/>
  <c r="B5" i="1"/>
  <c r="N4" i="1" l="1"/>
  <c r="X4" i="1"/>
  <c r="P4" i="1"/>
  <c r="Q4" i="1"/>
  <c r="H4" i="1"/>
  <c r="R4" i="1"/>
  <c r="M4" i="1"/>
  <c r="I4" i="1"/>
  <c r="S4" i="1"/>
  <c r="U4" i="1"/>
  <c r="K4" i="1"/>
  <c r="L4" i="1"/>
  <c r="L18" i="1" s="1"/>
  <c r="V4" i="1"/>
  <c r="W4" i="1"/>
  <c r="H5" i="1"/>
  <c r="P5" i="1"/>
  <c r="W5" i="1"/>
  <c r="I5" i="1"/>
  <c r="Q5" i="1"/>
  <c r="X5" i="1"/>
  <c r="K5" i="1"/>
  <c r="R5" i="1"/>
  <c r="V5" i="1"/>
  <c r="L5" i="1"/>
  <c r="L22" i="1" s="1"/>
  <c r="S5" i="1"/>
  <c r="S22" i="1" s="1"/>
  <c r="M5" i="1"/>
  <c r="U5" i="1"/>
  <c r="N5" i="1"/>
  <c r="F5" i="1"/>
  <c r="F26" i="1" s="1"/>
  <c r="G5" i="1"/>
  <c r="B10" i="1"/>
  <c r="B11" i="1"/>
  <c r="B6" i="1"/>
  <c r="B8" i="1"/>
  <c r="L38" i="1" l="1"/>
  <c r="S26" i="1"/>
  <c r="S19" i="1"/>
  <c r="L26" i="1"/>
  <c r="F19" i="1"/>
  <c r="L19" i="1"/>
  <c r="K6" i="1"/>
  <c r="R6" i="1"/>
  <c r="I6" i="1"/>
  <c r="L6" i="1"/>
  <c r="S6" i="1"/>
  <c r="M6" i="1"/>
  <c r="P6" i="1"/>
  <c r="Q6" i="1"/>
  <c r="F6" i="1"/>
  <c r="U6" i="1"/>
  <c r="G6" i="1"/>
  <c r="N6" i="1"/>
  <c r="V6" i="1"/>
  <c r="H6" i="1"/>
  <c r="W6" i="1"/>
  <c r="X6" i="1"/>
  <c r="Z5" i="1"/>
  <c r="F22" i="1"/>
  <c r="W26" i="1"/>
  <c r="W19" i="1"/>
  <c r="W22" i="1"/>
  <c r="N22" i="1"/>
  <c r="N26" i="1"/>
  <c r="N19" i="1"/>
  <c r="F11" i="1"/>
  <c r="M11" i="1"/>
  <c r="U11" i="1"/>
  <c r="G11" i="1"/>
  <c r="N11" i="1"/>
  <c r="V11" i="1"/>
  <c r="H11" i="1"/>
  <c r="W11" i="1"/>
  <c r="P11" i="1"/>
  <c r="I11" i="1"/>
  <c r="Q11" i="1"/>
  <c r="X11" i="1"/>
  <c r="L11" i="1"/>
  <c r="S11" i="1"/>
  <c r="K11" i="1"/>
  <c r="R11" i="1"/>
  <c r="I22" i="1"/>
  <c r="I26" i="1"/>
  <c r="I19" i="1"/>
  <c r="Q26" i="1"/>
  <c r="Q19" i="1"/>
  <c r="Q22" i="1"/>
  <c r="K26" i="1"/>
  <c r="K19" i="1"/>
  <c r="K22" i="1"/>
  <c r="V26" i="1"/>
  <c r="V19" i="1"/>
  <c r="V22" i="1"/>
  <c r="R22" i="1"/>
  <c r="R26" i="1"/>
  <c r="R19" i="1"/>
  <c r="H22" i="1"/>
  <c r="H26" i="1"/>
  <c r="H19" i="1"/>
  <c r="M22" i="1"/>
  <c r="M26" i="1"/>
  <c r="M19" i="1"/>
  <c r="U22" i="1"/>
  <c r="U26" i="1"/>
  <c r="U19" i="1"/>
  <c r="G22" i="1"/>
  <c r="G26" i="1"/>
  <c r="G19" i="1"/>
  <c r="X22" i="1"/>
  <c r="X26" i="1"/>
  <c r="X19" i="1"/>
  <c r="P26" i="1"/>
  <c r="P19" i="1"/>
  <c r="P22" i="1"/>
  <c r="G18" i="1"/>
  <c r="G38" i="1"/>
  <c r="N18" i="1"/>
  <c r="N38" i="1"/>
  <c r="R18" i="1"/>
  <c r="R38" i="1"/>
  <c r="V38" i="1"/>
  <c r="V18" i="1"/>
  <c r="K38" i="1"/>
  <c r="K18" i="1"/>
  <c r="M18" i="1"/>
  <c r="M38" i="1"/>
  <c r="H18" i="1"/>
  <c r="H38" i="1"/>
  <c r="F18" i="1"/>
  <c r="F38" i="1"/>
  <c r="W38" i="1"/>
  <c r="W18" i="1"/>
  <c r="U18" i="1"/>
  <c r="U38" i="1"/>
  <c r="P18" i="1"/>
  <c r="P38" i="1"/>
  <c r="Q38" i="1"/>
  <c r="Q18" i="1"/>
  <c r="S18" i="1"/>
  <c r="S38" i="1"/>
  <c r="X18" i="1"/>
  <c r="X38" i="1"/>
  <c r="H10" i="1"/>
  <c r="P10" i="1"/>
  <c r="W10" i="1"/>
  <c r="I10" i="1"/>
  <c r="Q10" i="1"/>
  <c r="X10" i="1"/>
  <c r="G10" i="1"/>
  <c r="F10" i="1"/>
  <c r="K10" i="1"/>
  <c r="R10" i="1"/>
  <c r="N10" i="1"/>
  <c r="L10" i="1"/>
  <c r="S10" i="1"/>
  <c r="M10" i="1"/>
  <c r="U10" i="1"/>
  <c r="V10" i="1"/>
  <c r="I18" i="1"/>
  <c r="I38" i="1"/>
  <c r="B12" i="1"/>
  <c r="B7" i="1"/>
  <c r="F8" i="1"/>
  <c r="M8" i="1"/>
  <c r="U8" i="1"/>
  <c r="P8" i="1"/>
  <c r="I8" i="1"/>
  <c r="X8" i="1"/>
  <c r="R8" i="1"/>
  <c r="G8" i="1"/>
  <c r="N8" i="1"/>
  <c r="V8" i="1"/>
  <c r="H8" i="1"/>
  <c r="W8" i="1"/>
  <c r="B14" i="1"/>
  <c r="Q8" i="1"/>
  <c r="L8" i="1"/>
  <c r="K8" i="1"/>
  <c r="S8" i="1"/>
  <c r="X20" i="1" l="1"/>
  <c r="W20" i="1" s="1"/>
  <c r="V20" i="1" s="1"/>
  <c r="Z10" i="1"/>
  <c r="Z8" i="1"/>
  <c r="Z6" i="1"/>
  <c r="F7" i="1"/>
  <c r="M7" i="1"/>
  <c r="U7" i="1"/>
  <c r="W7" i="1"/>
  <c r="K7" i="1"/>
  <c r="S7" i="1"/>
  <c r="G7" i="1"/>
  <c r="N7" i="1"/>
  <c r="V7" i="1"/>
  <c r="H7" i="1"/>
  <c r="R7" i="1"/>
  <c r="L7" i="1"/>
  <c r="P7" i="1"/>
  <c r="I7" i="1"/>
  <c r="Q7" i="1"/>
  <c r="X7" i="1"/>
  <c r="Z11" i="1"/>
  <c r="V39" i="1"/>
  <c r="V31" i="1"/>
  <c r="V34" i="1"/>
  <c r="Q31" i="1"/>
  <c r="Q34" i="1"/>
  <c r="Q39" i="1"/>
  <c r="N39" i="1"/>
  <c r="N34" i="1"/>
  <c r="N31" i="1"/>
  <c r="R34" i="1"/>
  <c r="R31" i="1"/>
  <c r="R39" i="1"/>
  <c r="I39" i="1"/>
  <c r="I34" i="1"/>
  <c r="I31" i="1"/>
  <c r="G39" i="1"/>
  <c r="G34" i="1"/>
  <c r="G31" i="1"/>
  <c r="K31" i="1"/>
  <c r="K34" i="1"/>
  <c r="K39" i="1"/>
  <c r="P31" i="1"/>
  <c r="P39" i="1"/>
  <c r="P34" i="1"/>
  <c r="U39" i="1"/>
  <c r="U34" i="1"/>
  <c r="U31" i="1"/>
  <c r="S39" i="1"/>
  <c r="S34" i="1"/>
  <c r="S31" i="1"/>
  <c r="W31" i="1"/>
  <c r="W34" i="1"/>
  <c r="W39" i="1"/>
  <c r="M39" i="1"/>
  <c r="M34" i="1"/>
  <c r="M31" i="1"/>
  <c r="X34" i="1"/>
  <c r="X31" i="1"/>
  <c r="X39" i="1"/>
  <c r="X40" i="1" s="1"/>
  <c r="L34" i="1"/>
  <c r="L31" i="1"/>
  <c r="L39" i="1"/>
  <c r="H39" i="1"/>
  <c r="H34" i="1"/>
  <c r="H31" i="1"/>
  <c r="F34" i="1"/>
  <c r="F31" i="1"/>
  <c r="F39" i="1"/>
  <c r="I14" i="1"/>
  <c r="I43" i="1" s="1"/>
  <c r="Q14" i="1"/>
  <c r="Q43" i="1" s="1"/>
  <c r="X14" i="1"/>
  <c r="X43" i="1" s="1"/>
  <c r="K14" i="1"/>
  <c r="K43" i="1" s="1"/>
  <c r="R14" i="1"/>
  <c r="R43" i="1" s="1"/>
  <c r="H14" i="1"/>
  <c r="H43" i="1" s="1"/>
  <c r="L14" i="1"/>
  <c r="L43" i="1" s="1"/>
  <c r="S14" i="1"/>
  <c r="S43" i="1" s="1"/>
  <c r="G14" i="1"/>
  <c r="G43" i="1" s="1"/>
  <c r="W14" i="1"/>
  <c r="W43" i="1" s="1"/>
  <c r="F14" i="1"/>
  <c r="M14" i="1"/>
  <c r="M43" i="1" s="1"/>
  <c r="U14" i="1"/>
  <c r="U43" i="1" s="1"/>
  <c r="V14" i="1"/>
  <c r="V43" i="1" s="1"/>
  <c r="P14" i="1"/>
  <c r="P43" i="1" s="1"/>
  <c r="N14" i="1"/>
  <c r="N43" i="1" s="1"/>
  <c r="G42" i="1"/>
  <c r="G23" i="1"/>
  <c r="L23" i="1"/>
  <c r="L42" i="1"/>
  <c r="H42" i="1"/>
  <c r="H23" i="1"/>
  <c r="S30" i="1"/>
  <c r="S27" i="1"/>
  <c r="G30" i="1"/>
  <c r="G27" i="1"/>
  <c r="H30" i="1"/>
  <c r="H27" i="1"/>
  <c r="N42" i="1"/>
  <c r="N23" i="1"/>
  <c r="S42" i="1"/>
  <c r="S23" i="1"/>
  <c r="L30" i="1"/>
  <c r="L27" i="1"/>
  <c r="X30" i="1"/>
  <c r="X27" i="1"/>
  <c r="X28" i="1" s="1"/>
  <c r="U23" i="1"/>
  <c r="U42" i="1"/>
  <c r="R42" i="1"/>
  <c r="R23" i="1"/>
  <c r="K23" i="1"/>
  <c r="K42" i="1"/>
  <c r="N30" i="1"/>
  <c r="N27" i="1"/>
  <c r="Q27" i="1"/>
  <c r="Q30" i="1"/>
  <c r="M42" i="1"/>
  <c r="M23" i="1"/>
  <c r="X23" i="1"/>
  <c r="X24" i="1" s="1"/>
  <c r="X42" i="1"/>
  <c r="L12" i="1"/>
  <c r="L35" i="1" s="1"/>
  <c r="S12" i="1"/>
  <c r="S35" i="1" s="1"/>
  <c r="F12" i="1"/>
  <c r="M12" i="1"/>
  <c r="M35" i="1" s="1"/>
  <c r="U12" i="1"/>
  <c r="U35" i="1" s="1"/>
  <c r="G12" i="1"/>
  <c r="G35" i="1" s="1"/>
  <c r="N12" i="1"/>
  <c r="N35" i="1" s="1"/>
  <c r="V12" i="1"/>
  <c r="V35" i="1" s="1"/>
  <c r="I12" i="1"/>
  <c r="I35" i="1" s="1"/>
  <c r="H12" i="1"/>
  <c r="H35" i="1" s="1"/>
  <c r="P12" i="1"/>
  <c r="P35" i="1" s="1"/>
  <c r="W12" i="1"/>
  <c r="W35" i="1" s="1"/>
  <c r="Q12" i="1"/>
  <c r="Q35" i="1" s="1"/>
  <c r="X12" i="1"/>
  <c r="X35" i="1" s="1"/>
  <c r="K12" i="1"/>
  <c r="K35" i="1" s="1"/>
  <c r="R12" i="1"/>
  <c r="R35" i="1" s="1"/>
  <c r="V27" i="1"/>
  <c r="V30" i="1"/>
  <c r="R30" i="1"/>
  <c r="R27" i="1"/>
  <c r="I30" i="1"/>
  <c r="I27" i="1"/>
  <c r="F42" i="1"/>
  <c r="F23" i="1"/>
  <c r="Q23" i="1"/>
  <c r="Q42" i="1"/>
  <c r="W23" i="1"/>
  <c r="W42" i="1"/>
  <c r="U30" i="1"/>
  <c r="U27" i="1"/>
  <c r="K27" i="1"/>
  <c r="K30" i="1"/>
  <c r="W27" i="1"/>
  <c r="W30" i="1"/>
  <c r="V23" i="1"/>
  <c r="V42" i="1"/>
  <c r="I23" i="1"/>
  <c r="I42" i="1"/>
  <c r="P23" i="1"/>
  <c r="P42" i="1"/>
  <c r="M30" i="1"/>
  <c r="M27" i="1"/>
  <c r="F30" i="1"/>
  <c r="F27" i="1"/>
  <c r="P27" i="1"/>
  <c r="P30" i="1"/>
  <c r="B9" i="1"/>
  <c r="B13" i="1"/>
  <c r="U20" i="1" l="1"/>
  <c r="S20" i="1" s="1"/>
  <c r="W40" i="1"/>
  <c r="V40" i="1" s="1"/>
  <c r="U40" i="1" s="1"/>
  <c r="B40" i="1" s="1"/>
  <c r="X44" i="1"/>
  <c r="W44" i="1" s="1"/>
  <c r="V44" i="1" s="1"/>
  <c r="U44" i="1" s="1"/>
  <c r="B44" i="1" s="1"/>
  <c r="Z7" i="1"/>
  <c r="X36" i="1"/>
  <c r="W36" i="1" s="1"/>
  <c r="V36" i="1" s="1"/>
  <c r="U36" i="1" s="1"/>
  <c r="F35" i="1"/>
  <c r="Z12" i="1"/>
  <c r="X32" i="1"/>
  <c r="F43" i="1"/>
  <c r="Z14" i="1"/>
  <c r="W24" i="1"/>
  <c r="V24" i="1" s="1"/>
  <c r="U24" i="1" s="1"/>
  <c r="G13" i="1"/>
  <c r="N13" i="1"/>
  <c r="V13" i="1"/>
  <c r="H13" i="1"/>
  <c r="P13" i="1"/>
  <c r="W13" i="1"/>
  <c r="I13" i="1"/>
  <c r="Q13" i="1"/>
  <c r="X13" i="1"/>
  <c r="L13" i="1"/>
  <c r="F13" i="1"/>
  <c r="U13" i="1"/>
  <c r="K13" i="1"/>
  <c r="R13" i="1"/>
  <c r="S13" i="1"/>
  <c r="M13" i="1"/>
  <c r="W28" i="1"/>
  <c r="V28" i="1" s="1"/>
  <c r="U28" i="1" s="1"/>
  <c r="W32" i="1"/>
  <c r="V32" i="1" s="1"/>
  <c r="U32" i="1" s="1"/>
  <c r="H9" i="1"/>
  <c r="P9" i="1"/>
  <c r="W9" i="1"/>
  <c r="K9" i="1"/>
  <c r="S9" i="1"/>
  <c r="B15" i="1"/>
  <c r="U9" i="1"/>
  <c r="I9" i="1"/>
  <c r="Q9" i="1"/>
  <c r="X9" i="1"/>
  <c r="R9" i="1"/>
  <c r="L9" i="1"/>
  <c r="F9" i="1"/>
  <c r="G9" i="1"/>
  <c r="N9" i="1"/>
  <c r="M9" i="1"/>
  <c r="V9" i="1"/>
  <c r="R20" i="1" l="1"/>
  <c r="Q20" i="1" s="1"/>
  <c r="P20" i="1" s="1"/>
  <c r="N20" i="1" s="1"/>
  <c r="M20" i="1" s="1"/>
  <c r="L20" i="1" s="1"/>
  <c r="K20" i="1" s="1"/>
  <c r="I20" i="1" s="1"/>
  <c r="H20" i="1" s="1"/>
  <c r="G20" i="1" s="1"/>
  <c r="F20" i="1" s="1"/>
  <c r="D19" i="1" s="1"/>
  <c r="B20" i="1"/>
  <c r="Z13" i="1"/>
  <c r="S40" i="1"/>
  <c r="R40" i="1" s="1"/>
  <c r="Q40" i="1" s="1"/>
  <c r="P40" i="1" s="1"/>
  <c r="N40" i="1" s="1"/>
  <c r="M40" i="1" s="1"/>
  <c r="L40" i="1" s="1"/>
  <c r="K40" i="1" s="1"/>
  <c r="I40" i="1" s="1"/>
  <c r="H40" i="1" s="1"/>
  <c r="G40" i="1" s="1"/>
  <c r="F40" i="1" s="1"/>
  <c r="Z40" i="1" s="1"/>
  <c r="S36" i="1"/>
  <c r="R36" i="1" s="1"/>
  <c r="Q36" i="1" s="1"/>
  <c r="P36" i="1" s="1"/>
  <c r="N36" i="1" s="1"/>
  <c r="M36" i="1" s="1"/>
  <c r="L36" i="1" s="1"/>
  <c r="K36" i="1" s="1"/>
  <c r="I36" i="1" s="1"/>
  <c r="H36" i="1" s="1"/>
  <c r="G36" i="1" s="1"/>
  <c r="F36" i="1" s="1"/>
  <c r="B34" i="1" s="1"/>
  <c r="Z9" i="1"/>
  <c r="S32" i="1"/>
  <c r="R32" i="1" s="1"/>
  <c r="Q32" i="1" s="1"/>
  <c r="P32" i="1" s="1"/>
  <c r="N32" i="1" s="1"/>
  <c r="M32" i="1" s="1"/>
  <c r="L32" i="1" s="1"/>
  <c r="K32" i="1" s="1"/>
  <c r="I32" i="1" s="1"/>
  <c r="H32" i="1" s="1"/>
  <c r="G32" i="1" s="1"/>
  <c r="F32" i="1" s="1"/>
  <c r="B32" i="1"/>
  <c r="B36" i="1"/>
  <c r="S24" i="1"/>
  <c r="R24" i="1" s="1"/>
  <c r="Q24" i="1" s="1"/>
  <c r="P24" i="1" s="1"/>
  <c r="S28" i="1"/>
  <c r="R28" i="1" s="1"/>
  <c r="Q28" i="1" s="1"/>
  <c r="P28" i="1" s="1"/>
  <c r="N28" i="1" s="1"/>
  <c r="M28" i="1" s="1"/>
  <c r="L28" i="1" s="1"/>
  <c r="K28" i="1" s="1"/>
  <c r="I28" i="1" s="1"/>
  <c r="H28" i="1" s="1"/>
  <c r="G28" i="1" s="1"/>
  <c r="F28" i="1" s="1"/>
  <c r="B28" i="1"/>
  <c r="S44" i="1"/>
  <c r="R44" i="1" s="1"/>
  <c r="Q44" i="1" s="1"/>
  <c r="P44" i="1" s="1"/>
  <c r="N44" i="1" s="1"/>
  <c r="M44" i="1" s="1"/>
  <c r="L44" i="1" s="1"/>
  <c r="K44" i="1" s="1"/>
  <c r="I44" i="1" s="1"/>
  <c r="H44" i="1" s="1"/>
  <c r="G44" i="1" s="1"/>
  <c r="F44" i="1" s="1"/>
  <c r="B24" i="1"/>
  <c r="L15" i="1"/>
  <c r="S15" i="1"/>
  <c r="F15" i="1"/>
  <c r="M15" i="1"/>
  <c r="U15" i="1"/>
  <c r="K15" i="1"/>
  <c r="G15" i="1"/>
  <c r="N15" i="1"/>
  <c r="V15" i="1"/>
  <c r="I15" i="1"/>
  <c r="X15" i="1"/>
  <c r="H15" i="1"/>
  <c r="P15" i="1"/>
  <c r="W15" i="1"/>
  <c r="Q15" i="1"/>
  <c r="R15" i="1"/>
  <c r="N24" i="1" l="1"/>
  <c r="M24" i="1" s="1"/>
  <c r="L24" i="1" s="1"/>
  <c r="K24" i="1" s="1"/>
  <c r="I24" i="1" s="1"/>
  <c r="H24" i="1" s="1"/>
  <c r="G24" i="1" s="1"/>
  <c r="F24" i="1" s="1"/>
  <c r="B19" i="1"/>
  <c r="Z20" i="1"/>
  <c r="B18" i="1"/>
  <c r="D20" i="1"/>
  <c r="D18" i="1"/>
  <c r="D40" i="1"/>
  <c r="B38" i="1"/>
  <c r="D38" i="1"/>
  <c r="D39" i="1"/>
  <c r="B39" i="1"/>
  <c r="B35" i="1"/>
  <c r="Z32" i="1"/>
  <c r="D31" i="1"/>
  <c r="D30" i="1"/>
  <c r="B30" i="1"/>
  <c r="D32" i="1"/>
  <c r="Z36" i="1"/>
  <c r="D35" i="1"/>
  <c r="D34" i="1"/>
  <c r="B31" i="1"/>
  <c r="D36" i="1"/>
  <c r="Z28" i="1"/>
  <c r="D27" i="1"/>
  <c r="D26" i="1"/>
  <c r="D28" i="1"/>
  <c r="B27" i="1"/>
  <c r="Z44" i="1"/>
  <c r="D43" i="1"/>
  <c r="D42" i="1"/>
  <c r="B42" i="1"/>
  <c r="D44" i="1"/>
  <c r="B43" i="1"/>
  <c r="B23" i="1"/>
  <c r="Z24" i="1" l="1"/>
  <c r="D23" i="1"/>
  <c r="D22" i="1"/>
  <c r="D24" i="1"/>
  <c r="AA22" i="1" s="1"/>
  <c r="B22" i="1"/>
</calcChain>
</file>

<file path=xl/sharedStrings.xml><?xml version="1.0" encoding="utf-8"?>
<sst xmlns="http://schemas.openxmlformats.org/spreadsheetml/2006/main" count="151" uniqueCount="42">
  <si>
    <t>A</t>
  </si>
  <si>
    <t>C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</si>
  <si>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</si>
  <si>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</si>
  <si>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</si>
  <si>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</si>
  <si>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</si>
  <si>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</si>
  <si>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</si>
  <si>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</si>
  <si>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</si>
  <si>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</si>
  <si>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</si>
  <si>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</si>
  <si>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</si>
  <si>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</si>
  <si>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</si>
  <si>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</si>
  <si>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</si>
  <si>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</si>
  <si>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</si>
  <si>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</si>
  <si>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</si>
  <si>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</si>
  <si>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</si>
  <si>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</si>
  <si>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.</t>
  </si>
  <si>
    <t>B1+B2</t>
  </si>
  <si>
    <t>B2+B3</t>
  </si>
  <si>
    <t>B2+B7</t>
  </si>
  <si>
    <t>B7+B8</t>
  </si>
  <si>
    <t>B1+B8</t>
  </si>
  <si>
    <t>B8+B9</t>
  </si>
  <si>
    <t>B3+B11</t>
  </si>
  <si>
    <t>ОДЗ = 32767; - 32768</t>
  </si>
  <si>
    <t>Комментарии:</t>
  </si>
  <si>
    <t>ZF=</t>
  </si>
  <si>
    <t>SF=</t>
  </si>
  <si>
    <t>OF=</t>
  </si>
  <si>
    <t>PF=</t>
  </si>
  <si>
    <t>AF=</t>
  </si>
  <si>
    <t>CF=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</si>
</sst>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1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 wrapText="1"/>
    </xf>
    <xf numFmtId="0" fontId="0" fillId="2" borderId="0" xfId="0" applyFill="1"/>
    <xf numFmtId="0" fontId="0" fillId="3" borderId="0" xfId="0" applyFill="1"/>
  </cellXfs>
  <cellStyles count="1">
    <cellStyle name="Обычный" xfId="0" builtinId="0"/>
  </cellStyles>
  <dxfs count="24">
    <dxf>
      <font>
        <b/>
        <i val="0"/>
      </font>
    </dxf>
    <dxf>
      <font>
        <b val="0"/>
        <i/>
      </font>
    </dxf>
    <dxf>
      <font>
        <b val="0"/>
        <i/>
      </font>
    </dxf>
    <dxf>
      <fill>
        <patternFill>
          <fgColor indexed="64"/>
          <bgColor rgb="FFC00000"/>
        </patternFill>
      </fill>
    </dxf>
    <dxf>
      <font>
        <b val="0"/>
        <i/>
      </font>
    </dxf>
    <dxf>
      <fill>
        <patternFill>
          <fgColor indexed="64"/>
          <bgColor rgb="FFC00000"/>
        </patternFill>
      </fill>
    </dxf>
    <dxf>
      <font>
        <b val="0"/>
        <i/>
      </font>
    </dxf>
    <dxf>
      <fill>
        <patternFill>
          <fgColor indexed="64"/>
          <bgColor rgb="FFC00000"/>
        </patternFill>
      </fill>
    </dxf>
    <dxf>
      <font>
        <b val="0"/>
        <i/>
      </font>
    </dxf>
    <dxf>
      <fill>
        <patternFill>
          <fgColor indexed="64"/>
          <bgColor rgb="FFC00000"/>
        </patternFill>
      </fill>
    </dxf>
    <dxf>
      <font>
        <b val="0"/>
        <i/>
      </font>
    </dxf>
    <dxf>
      <fill>
        <patternFill>
          <fgColor indexed="64"/>
          <bgColor rgb="FFC00000"/>
        </patternFill>
      </fill>
    </dxf>
    <dxf>
      <font>
        <b val="0"/>
        <i/>
      </font>
    </dxf>
    <dxf>
      <fill>
        <patternFill>
          <fgColor indexed="64"/>
          <bgColor rgb="FFC00000"/>
        </patternFill>
      </fill>
    </dxf>
    <dxf>
      <font>
        <b val="0"/>
        <i/>
      </font>
    </dxf>
    <dxf>
      <fill>
        <patternFill>
          <fgColor indexed="64"/>
          <bgColor rgb="FFC00000"/>
        </patternFill>
      </fill>
    </dxf>
    <dxf>
      <font>
        <b val="0"/>
        <i/>
      </font>
    </dxf>
    <dxf>
      <fill>
        <patternFill>
          <fgColor indexed="64"/>
          <bgColor rgb="FFC00000"/>
        </patternFill>
      </fill>
    </dxf>
    <dxf>
      <font>
        <b val="0"/>
        <i/>
      </font>
    </dxf>
    <dxf>
      <fill>
        <patternFill>
          <fgColor indexed="64"/>
          <bgColor rgb="FFC00000"/>
        </patternFill>
      </fill>
    </dxf>
    <dxf>
      <font>
        <b val="0"/>
        <i/>
      </font>
    </dxf>
    <dxf>
      <fill>
        <patternFill>
          <fgColor indexed="64"/>
          <bgColor rgb="FFC00000"/>
        </patternFill>
      </fill>
    </dxf>
    <dxf>
      <font>
        <b val="0"/>
        <i/>
      </font>
    </dxf>
    <dxf>
      <fill>
        <patternFill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03EA7-C554-4436-8F2E-E4A8F21FD3C6}">
  <sheetPr codeName="Лист1"/>
  <dimension ref="A2:AA44"/>
  <sheetViews>
    <sheetView tabSelected="1" zoomScale="83" zoomScaleNormal="83" zoomScalePageLayoutView="55" workbookViewId="0">
      <selection activeCell="AA18" sqref="AA18:AA20"/>
    </sheetView>
  </sheetViews>
  <sheetFormatPr defaultRowHeight="14.5" x14ac:dyDescent="0.35"/>
  <cols>
    <col min="6" max="8" width="3" customWidth="1"/>
    <col min="9" max="9" width="2.90625" customWidth="1"/>
    <col min="10" max="18" width="3" customWidth="1"/>
    <col min="19" max="19" width="3.54296875" customWidth="1"/>
    <col min="20" max="20" width="2.08984375" customWidth="1"/>
    <col min="21" max="21" width="2.6328125" customWidth="1"/>
    <col min="22" max="22" width="3" customWidth="1"/>
    <col min="23" max="23" width="3.1796875" customWidth="1"/>
    <col min="24" max="24" width="3" customWidth="1"/>
    <col min="27" max="27" width="33.90625" customWidth="1"/>
  </cols>
  <sheetData>
    <row r="2" spans="1:27" x14ac:dyDescent="0.35">
      <c r="A2" t="s">
        <v>0</v>
      </c>
      <c r="B2">
        <v>11101</v>
      </c>
    </row>
    <row r="3" spans="1:27" x14ac:dyDescent="0.35">
      <c r="A3" t="s">
        <v>1</v>
      </c>
      <c r="B3">
        <v>18615</v>
      </c>
      <c r="F3">
        <v>16</v>
      </c>
      <c r="G3">
        <v>15</v>
      </c>
      <c r="H3">
        <v>14</v>
      </c>
      <c r="I3">
        <v>13</v>
      </c>
      <c r="J3" t="s">
        <v>26</v>
      </c>
      <c r="K3">
        <v>12</v>
      </c>
      <c r="L3">
        <v>11</v>
      </c>
      <c r="M3">
        <v>10</v>
      </c>
      <c r="N3">
        <v>9</v>
      </c>
      <c r="O3" t="s">
        <v>26</v>
      </c>
      <c r="P3">
        <v>8</v>
      </c>
      <c r="Q3">
        <v>7</v>
      </c>
      <c r="R3">
        <v>6</v>
      </c>
      <c r="S3">
        <v>5</v>
      </c>
      <c r="T3" t="s">
        <v>26</v>
      </c>
      <c r="U3">
        <v>4</v>
      </c>
      <c r="V3">
        <v>3</v>
      </c>
      <c r="W3">
        <v>2</v>
      </c>
      <c r="X3">
        <v>1</v>
      </c>
      <c r="AA3" t="s">
        <v>34</v>
      </c>
    </row>
    <row r="4" spans="1:27" x14ac:dyDescent="0.35">
      <c r="A4" t="s">
        <v>2</v>
      </c>
      <c r="B4">
        <f>B2</f>
        <v>11101</v>
      </c>
      <c r="E4" t="s">
        <v>14</v>
      </c>
      <c r="F4">
        <f>MOD(QUOTIENT($B4,POWER(2,F$3-1)),2)</f>
        <v>0</v>
      </c>
      <c r="G4">
        <f>MOD(QUOTIENT($B4,POWER(2,G$3-1)),2)</f>
        <v>0</v>
      </c>
      <c r="H4">
        <f t="shared" ref="G4:X9" si="0">MOD(QUOTIENT($B4,POWER(2,H$3-1)),2)</f>
        <v>1</v>
      </c>
      <c r="I4">
        <f t="shared" si="0"/>
        <v>0</v>
      </c>
      <c r="J4" t="s">
        <v>26</v>
      </c>
      <c r="K4">
        <f t="shared" si="0"/>
        <v>1</v>
      </c>
      <c r="L4">
        <f t="shared" si="0"/>
        <v>0</v>
      </c>
      <c r="M4">
        <f t="shared" si="0"/>
        <v>1</v>
      </c>
      <c r="N4">
        <f t="shared" si="0"/>
        <v>1</v>
      </c>
      <c r="O4" t="s">
        <v>26</v>
      </c>
      <c r="P4">
        <f t="shared" si="0"/>
        <v>0</v>
      </c>
      <c r="Q4">
        <f t="shared" si="0"/>
        <v>1</v>
      </c>
      <c r="R4">
        <f t="shared" si="0"/>
        <v>0</v>
      </c>
      <c r="S4">
        <f t="shared" si="0"/>
        <v>1</v>
      </c>
      <c r="T4" t="s">
        <v>26</v>
      </c>
      <c r="U4">
        <f t="shared" si="0"/>
        <v>1</v>
      </c>
      <c r="V4">
        <f t="shared" si="0"/>
        <v>1</v>
      </c>
      <c r="W4">
        <f t="shared" si="0"/>
        <v>0</v>
      </c>
      <c r="X4">
        <f t="shared" si="0"/>
        <v>1</v>
      </c>
      <c r="Z4">
        <f>SERIESSUM(2,15,-1,F4:I4) + SERIESSUM(2,11,-1,K4:N4) + SERIESSUM(2,7,-1,P4:S4) + SERIESSUM(2,3,-1,U4:X4) - 65536*IF(F4 = 1, 1, 0)</f>
        <v>11101</v>
      </c>
    </row>
    <row r="5" spans="1:27" x14ac:dyDescent="0.35">
      <c r="A5" t="s">
        <v>3</v>
      </c>
      <c r="B5">
        <f>B3</f>
        <v>18615</v>
      </c>
      <c r="E5" t="s">
        <v>15</v>
      </c>
      <c r="F5">
        <f t="shared" ref="F5:F9" si="1">MOD(QUOTIENT($B5,POWER(2,F$3-1)),2)</f>
        <v>0</v>
      </c>
      <c r="G5">
        <f t="shared" si="0"/>
        <v>1</v>
      </c>
      <c r="H5">
        <f t="shared" si="0"/>
        <v>0</v>
      </c>
      <c r="I5">
        <f t="shared" si="0"/>
        <v>0</v>
      </c>
      <c r="J5" t="s">
        <v>26</v>
      </c>
      <c r="K5">
        <f t="shared" si="0"/>
        <v>1</v>
      </c>
      <c r="L5">
        <f t="shared" si="0"/>
        <v>0</v>
      </c>
      <c r="M5">
        <f t="shared" si="0"/>
        <v>0</v>
      </c>
      <c r="N5">
        <f t="shared" si="0"/>
        <v>0</v>
      </c>
      <c r="O5" t="s">
        <v>26</v>
      </c>
      <c r="P5">
        <f t="shared" si="0"/>
        <v>1</v>
      </c>
      <c r="Q5">
        <f t="shared" si="0"/>
        <v>0</v>
      </c>
      <c r="R5">
        <f t="shared" si="0"/>
        <v>1</v>
      </c>
      <c r="S5">
        <f t="shared" si="0"/>
        <v>1</v>
      </c>
      <c r="T5" t="s">
        <v>26</v>
      </c>
      <c r="U5">
        <f t="shared" si="0"/>
        <v>0</v>
      </c>
      <c r="V5">
        <f t="shared" si="0"/>
        <v>1</v>
      </c>
      <c r="W5">
        <f t="shared" si="0"/>
        <v>1</v>
      </c>
      <c r="X5">
        <f t="shared" si="0"/>
        <v>1</v>
      </c>
      <c r="Z5">
        <f t="shared" ref="Z5:Z14" si="2">SERIESSUM(2,15,-1,F5:I5) + SERIESSUM(2,11,-1,K5:N5) + SERIESSUM(2,7,-1,P5:S5) + SERIESSUM(2,3,-1,U5:X5)</f>
        <v>18615</v>
      </c>
    </row>
    <row r="6" spans="1:27" x14ac:dyDescent="0.35">
      <c r="A6" t="s">
        <v>4</v>
      </c>
      <c r="B6">
        <f>B5+B4</f>
        <v>29716</v>
      </c>
      <c r="E6" t="s">
        <v>16</v>
      </c>
      <c r="F6">
        <f t="shared" si="1"/>
        <v>0</v>
      </c>
      <c r="G6">
        <f t="shared" si="0"/>
        <v>1</v>
      </c>
      <c r="H6">
        <f t="shared" si="0"/>
        <v>1</v>
      </c>
      <c r="I6">
        <f t="shared" si="0"/>
        <v>1</v>
      </c>
      <c r="J6" t="s">
        <v>26</v>
      </c>
      <c r="K6">
        <f t="shared" si="0"/>
        <v>0</v>
      </c>
      <c r="L6">
        <f t="shared" si="0"/>
        <v>1</v>
      </c>
      <c r="M6">
        <f t="shared" si="0"/>
        <v>0</v>
      </c>
      <c r="N6">
        <f t="shared" si="0"/>
        <v>0</v>
      </c>
      <c r="O6" t="s">
        <v>26</v>
      </c>
      <c r="P6">
        <f t="shared" si="0"/>
        <v>0</v>
      </c>
      <c r="Q6">
        <f t="shared" si="0"/>
        <v>0</v>
      </c>
      <c r="R6">
        <f t="shared" si="0"/>
        <v>0</v>
      </c>
      <c r="S6">
        <f t="shared" si="0"/>
        <v>1</v>
      </c>
      <c r="T6" t="s">
        <v>26</v>
      </c>
      <c r="U6">
        <f t="shared" si="0"/>
        <v>0</v>
      </c>
      <c r="V6">
        <f t="shared" si="0"/>
        <v>1</v>
      </c>
      <c r="W6">
        <f t="shared" si="0"/>
        <v>0</v>
      </c>
      <c r="X6">
        <f t="shared" si="0"/>
        <v>0</v>
      </c>
      <c r="Z6">
        <f t="shared" si="2"/>
        <v>29716</v>
      </c>
    </row>
    <row r="7" spans="1:27" x14ac:dyDescent="0.35">
      <c r="A7" t="s">
        <v>5</v>
      </c>
      <c r="B7">
        <f>B6+B5</f>
        <v>48331</v>
      </c>
      <c r="E7" t="s">
        <v>17</v>
      </c>
      <c r="F7">
        <f t="shared" si="1"/>
        <v>1</v>
      </c>
      <c r="G7">
        <f t="shared" si="0"/>
        <v>0</v>
      </c>
      <c r="H7">
        <f t="shared" si="0"/>
        <v>1</v>
      </c>
      <c r="I7">
        <f t="shared" si="0"/>
        <v>1</v>
      </c>
      <c r="J7" t="s">
        <v>26</v>
      </c>
      <c r="K7">
        <f t="shared" si="0"/>
        <v>1</v>
      </c>
      <c r="L7">
        <f t="shared" si="0"/>
        <v>1</v>
      </c>
      <c r="M7">
        <f t="shared" si="0"/>
        <v>0</v>
      </c>
      <c r="N7">
        <f t="shared" si="0"/>
        <v>0</v>
      </c>
      <c r="O7" t="s">
        <v>26</v>
      </c>
      <c r="P7">
        <f t="shared" si="0"/>
        <v>1</v>
      </c>
      <c r="Q7">
        <f t="shared" si="0"/>
        <v>1</v>
      </c>
      <c r="R7">
        <f t="shared" si="0"/>
        <v>0</v>
      </c>
      <c r="S7">
        <f t="shared" si="0"/>
        <v>0</v>
      </c>
      <c r="T7" t="s">
        <v>26</v>
      </c>
      <c r="U7">
        <f t="shared" si="0"/>
        <v>1</v>
      </c>
      <c r="V7">
        <f t="shared" si="0"/>
        <v>0</v>
      </c>
      <c r="W7">
        <f t="shared" si="0"/>
        <v>1</v>
      </c>
      <c r="X7">
        <f t="shared" si="0"/>
        <v>1</v>
      </c>
      <c r="Z7">
        <f t="shared" si="2"/>
        <v>48331</v>
      </c>
    </row>
    <row r="8" spans="1:27" x14ac:dyDescent="0.35">
      <c r="A8" t="s">
        <v>6</v>
      </c>
      <c r="B8">
        <f>B5-B4</f>
        <v>7514</v>
      </c>
      <c r="E8" t="s">
        <v>18</v>
      </c>
      <c r="F8" s="12">
        <f t="shared" si="1"/>
        <v>0</v>
      </c>
      <c r="G8" s="12">
        <f t="shared" si="0"/>
        <v>0</v>
      </c>
      <c r="H8" s="12">
        <f t="shared" si="0"/>
        <v>0</v>
      </c>
      <c r="I8" s="11">
        <f t="shared" si="0"/>
        <v>1</v>
      </c>
      <c r="J8" t="s">
        <v>26</v>
      </c>
      <c r="K8" s="11">
        <f t="shared" si="0"/>
        <v>1</v>
      </c>
      <c r="L8" s="11">
        <f t="shared" si="0"/>
        <v>1</v>
      </c>
      <c r="M8" s="12">
        <f t="shared" si="0"/>
        <v>0</v>
      </c>
      <c r="N8" s="11">
        <f t="shared" si="0"/>
        <v>1</v>
      </c>
      <c r="O8" t="s">
        <v>26</v>
      </c>
      <c r="P8" s="12">
        <f t="shared" si="0"/>
        <v>0</v>
      </c>
      <c r="Q8" s="11">
        <f t="shared" si="0"/>
        <v>1</v>
      </c>
      <c r="R8" s="12">
        <f t="shared" si="0"/>
        <v>0</v>
      </c>
      <c r="S8" s="11">
        <f t="shared" si="0"/>
        <v>1</v>
      </c>
      <c r="T8" t="s">
        <v>26</v>
      </c>
      <c r="U8" s="11">
        <f t="shared" si="0"/>
        <v>1</v>
      </c>
      <c r="V8" s="12">
        <f t="shared" si="0"/>
        <v>0</v>
      </c>
      <c r="W8" s="11">
        <f t="shared" si="0"/>
        <v>1</v>
      </c>
      <c r="X8" s="12">
        <f t="shared" si="0"/>
        <v>0</v>
      </c>
      <c r="Z8">
        <f t="shared" si="2"/>
        <v>7514</v>
      </c>
    </row>
    <row r="9" spans="1:27" x14ac:dyDescent="0.35">
      <c r="A9" t="s">
        <v>7</v>
      </c>
      <c r="B9">
        <f>65536-B7</f>
        <v>17205</v>
      </c>
      <c r="E9" t="s">
        <v>19</v>
      </c>
      <c r="F9" s="12">
        <f t="shared" si="1"/>
        <v>0</v>
      </c>
      <c r="G9" s="11">
        <f t="shared" si="0"/>
        <v>1</v>
      </c>
      <c r="H9" s="12">
        <f t="shared" si="0"/>
        <v>0</v>
      </c>
      <c r="I9" s="12">
        <f t="shared" si="0"/>
        <v>0</v>
      </c>
      <c r="J9" t="s">
        <v>26</v>
      </c>
      <c r="K9" s="12">
        <f t="shared" si="0"/>
        <v>0</v>
      </c>
      <c r="L9" s="12">
        <f t="shared" si="0"/>
        <v>0</v>
      </c>
      <c r="M9" s="11">
        <f t="shared" si="0"/>
        <v>1</v>
      </c>
      <c r="N9" s="11">
        <f t="shared" si="0"/>
        <v>1</v>
      </c>
      <c r="O9" t="s">
        <v>26</v>
      </c>
      <c r="P9" s="12">
        <f t="shared" si="0"/>
        <v>0</v>
      </c>
      <c r="Q9" s="12">
        <f t="shared" si="0"/>
        <v>0</v>
      </c>
      <c r="R9" s="11">
        <f t="shared" si="0"/>
        <v>1</v>
      </c>
      <c r="S9" s="11">
        <f t="shared" si="0"/>
        <v>1</v>
      </c>
      <c r="T9" t="s">
        <v>26</v>
      </c>
      <c r="U9" s="12">
        <f t="shared" si="0"/>
        <v>0</v>
      </c>
      <c r="V9" s="11">
        <f t="shared" si="0"/>
        <v>1</v>
      </c>
      <c r="W9" s="12">
        <f t="shared" si="0"/>
        <v>0</v>
      </c>
      <c r="X9" s="11">
        <f t="shared" si="0"/>
        <v>1</v>
      </c>
      <c r="Z9">
        <f t="shared" si="2"/>
        <v>17205</v>
      </c>
    </row>
    <row r="10" spans="1:27" x14ac:dyDescent="0.35">
      <c r="A10" t="s">
        <v>8</v>
      </c>
      <c r="B10">
        <f>-B4</f>
        <v>-11101</v>
      </c>
      <c r="E10" t="s">
        <v>20</v>
      </c>
      <c r="F10" s="11">
        <f>MOD(QUOTIENT(65536+$B10,POWER(2,F$3-1)),2)</f>
        <v>1</v>
      </c>
      <c r="G10" s="11">
        <f t="shared" ref="G10:X15" si="3">MOD(QUOTIENT(65536+$B10,POWER(2,G$3-1)),2)</f>
        <v>1</v>
      </c>
      <c r="H10" s="12">
        <f t="shared" si="3"/>
        <v>0</v>
      </c>
      <c r="I10" s="11">
        <f t="shared" si="3"/>
        <v>1</v>
      </c>
      <c r="J10" t="s">
        <v>26</v>
      </c>
      <c r="K10" s="12">
        <f t="shared" si="3"/>
        <v>0</v>
      </c>
      <c r="L10" s="11">
        <f t="shared" si="3"/>
        <v>1</v>
      </c>
      <c r="M10" s="12">
        <f t="shared" si="3"/>
        <v>0</v>
      </c>
      <c r="N10" s="12">
        <f t="shared" si="3"/>
        <v>0</v>
      </c>
      <c r="O10" t="s">
        <v>26</v>
      </c>
      <c r="P10" s="11">
        <f t="shared" si="3"/>
        <v>1</v>
      </c>
      <c r="Q10" s="12">
        <f t="shared" si="3"/>
        <v>0</v>
      </c>
      <c r="R10" s="11">
        <f t="shared" si="3"/>
        <v>1</v>
      </c>
      <c r="S10" s="12">
        <f t="shared" si="3"/>
        <v>0</v>
      </c>
      <c r="T10" t="s">
        <v>26</v>
      </c>
      <c r="U10" s="12">
        <f t="shared" si="3"/>
        <v>0</v>
      </c>
      <c r="V10" s="12">
        <f t="shared" si="3"/>
        <v>0</v>
      </c>
      <c r="W10" s="11">
        <f t="shared" si="3"/>
        <v>1</v>
      </c>
      <c r="X10" s="11">
        <f t="shared" si="3"/>
        <v>1</v>
      </c>
      <c r="Z10">
        <f t="shared" si="2"/>
        <v>54435</v>
      </c>
    </row>
    <row r="11" spans="1:27" x14ac:dyDescent="0.35">
      <c r="A11" t="s">
        <v>9</v>
      </c>
      <c r="B11">
        <f>-B5</f>
        <v>-18615</v>
      </c>
      <c r="E11" t="s">
        <v>21</v>
      </c>
      <c r="F11" s="11">
        <f t="shared" ref="F11:F15" si="4">MOD(QUOTIENT(65536+$B11,POWER(2,F$3-1)),2)</f>
        <v>1</v>
      </c>
      <c r="G11" s="12">
        <f t="shared" si="3"/>
        <v>0</v>
      </c>
      <c r="H11" s="11">
        <f t="shared" si="3"/>
        <v>1</v>
      </c>
      <c r="I11" s="11">
        <f t="shared" si="3"/>
        <v>1</v>
      </c>
      <c r="J11" t="s">
        <v>26</v>
      </c>
      <c r="K11" s="12">
        <f t="shared" si="3"/>
        <v>0</v>
      </c>
      <c r="L11" s="11">
        <f t="shared" si="3"/>
        <v>1</v>
      </c>
      <c r="M11" s="11">
        <f t="shared" si="3"/>
        <v>1</v>
      </c>
      <c r="N11" s="11">
        <f t="shared" si="3"/>
        <v>1</v>
      </c>
      <c r="O11" t="s">
        <v>26</v>
      </c>
      <c r="P11" s="12">
        <f t="shared" si="3"/>
        <v>0</v>
      </c>
      <c r="Q11" s="11">
        <f t="shared" si="3"/>
        <v>1</v>
      </c>
      <c r="R11" s="12">
        <f t="shared" si="3"/>
        <v>0</v>
      </c>
      <c r="S11" s="12">
        <f t="shared" si="3"/>
        <v>0</v>
      </c>
      <c r="T11" t="s">
        <v>26</v>
      </c>
      <c r="U11" s="11">
        <f t="shared" si="3"/>
        <v>1</v>
      </c>
      <c r="V11" s="12">
        <f t="shared" si="3"/>
        <v>0</v>
      </c>
      <c r="W11" s="12">
        <f t="shared" si="3"/>
        <v>0</v>
      </c>
      <c r="X11" s="11">
        <f t="shared" si="3"/>
        <v>1</v>
      </c>
      <c r="Z11">
        <f t="shared" si="2"/>
        <v>46921</v>
      </c>
    </row>
    <row r="12" spans="1:27" x14ac:dyDescent="0.35">
      <c r="A12" t="s">
        <v>10</v>
      </c>
      <c r="B12">
        <f t="shared" ref="B12:B15" si="5">-B6</f>
        <v>-29716</v>
      </c>
      <c r="E12" t="s">
        <v>22</v>
      </c>
      <c r="F12" s="11">
        <f t="shared" si="4"/>
        <v>1</v>
      </c>
      <c r="G12" s="12">
        <f t="shared" si="3"/>
        <v>0</v>
      </c>
      <c r="H12" s="12">
        <f t="shared" si="3"/>
        <v>0</v>
      </c>
      <c r="I12" s="12">
        <f t="shared" si="3"/>
        <v>0</v>
      </c>
      <c r="J12" t="s">
        <v>26</v>
      </c>
      <c r="K12" s="11">
        <f t="shared" si="3"/>
        <v>1</v>
      </c>
      <c r="L12" s="12">
        <f t="shared" si="3"/>
        <v>0</v>
      </c>
      <c r="M12" s="11">
        <f t="shared" si="3"/>
        <v>1</v>
      </c>
      <c r="N12" s="11">
        <f t="shared" si="3"/>
        <v>1</v>
      </c>
      <c r="O12" t="s">
        <v>26</v>
      </c>
      <c r="P12" s="11">
        <f t="shared" si="3"/>
        <v>1</v>
      </c>
      <c r="Q12" s="11">
        <f t="shared" si="3"/>
        <v>1</v>
      </c>
      <c r="R12" s="11">
        <f t="shared" si="3"/>
        <v>1</v>
      </c>
      <c r="S12" s="12">
        <f t="shared" si="3"/>
        <v>0</v>
      </c>
      <c r="T12" t="s">
        <v>26</v>
      </c>
      <c r="U12" s="11">
        <f t="shared" si="3"/>
        <v>1</v>
      </c>
      <c r="V12" s="11">
        <f t="shared" si="3"/>
        <v>1</v>
      </c>
      <c r="W12" s="12">
        <f t="shared" si="3"/>
        <v>0</v>
      </c>
      <c r="X12" s="12">
        <f t="shared" si="3"/>
        <v>0</v>
      </c>
      <c r="Z12">
        <f t="shared" si="2"/>
        <v>35820</v>
      </c>
    </row>
    <row r="13" spans="1:27" x14ac:dyDescent="0.35">
      <c r="A13" t="s">
        <v>11</v>
      </c>
      <c r="B13">
        <f t="shared" si="5"/>
        <v>-48331</v>
      </c>
      <c r="E13" t="s">
        <v>23</v>
      </c>
      <c r="F13" s="12">
        <f t="shared" si="4"/>
        <v>0</v>
      </c>
      <c r="G13" s="11">
        <f t="shared" si="3"/>
        <v>1</v>
      </c>
      <c r="H13" s="12">
        <f t="shared" si="3"/>
        <v>0</v>
      </c>
      <c r="I13" s="12">
        <f t="shared" si="3"/>
        <v>0</v>
      </c>
      <c r="J13" t="s">
        <v>26</v>
      </c>
      <c r="K13" s="12">
        <f t="shared" si="3"/>
        <v>0</v>
      </c>
      <c r="L13" s="12">
        <f t="shared" si="3"/>
        <v>0</v>
      </c>
      <c r="M13" s="11">
        <f t="shared" si="3"/>
        <v>1</v>
      </c>
      <c r="N13" s="11">
        <f t="shared" si="3"/>
        <v>1</v>
      </c>
      <c r="O13" t="s">
        <v>26</v>
      </c>
      <c r="P13" s="12">
        <f t="shared" si="3"/>
        <v>0</v>
      </c>
      <c r="Q13" s="12">
        <f t="shared" si="3"/>
        <v>0</v>
      </c>
      <c r="R13" s="11">
        <f t="shared" si="3"/>
        <v>1</v>
      </c>
      <c r="S13" s="11">
        <f t="shared" si="3"/>
        <v>1</v>
      </c>
      <c r="T13" t="s">
        <v>26</v>
      </c>
      <c r="U13" s="12">
        <f t="shared" si="3"/>
        <v>0</v>
      </c>
      <c r="V13" s="11">
        <f t="shared" si="3"/>
        <v>1</v>
      </c>
      <c r="W13" s="12">
        <f t="shared" si="3"/>
        <v>0</v>
      </c>
      <c r="X13" s="11">
        <f t="shared" si="3"/>
        <v>1</v>
      </c>
      <c r="Z13">
        <f t="shared" si="2"/>
        <v>17205</v>
      </c>
    </row>
    <row r="14" spans="1:27" x14ac:dyDescent="0.35">
      <c r="A14" t="s">
        <v>12</v>
      </c>
      <c r="B14">
        <f t="shared" si="5"/>
        <v>-7514</v>
      </c>
      <c r="E14" t="s">
        <v>24</v>
      </c>
      <c r="F14" s="11">
        <f t="shared" si="4"/>
        <v>1</v>
      </c>
      <c r="G14" s="11">
        <f t="shared" si="3"/>
        <v>1</v>
      </c>
      <c r="H14" s="11">
        <f t="shared" si="3"/>
        <v>1</v>
      </c>
      <c r="I14" s="12">
        <f t="shared" si="3"/>
        <v>0</v>
      </c>
      <c r="J14" t="s">
        <v>26</v>
      </c>
      <c r="K14" s="12">
        <f t="shared" si="3"/>
        <v>0</v>
      </c>
      <c r="L14" s="12">
        <f t="shared" si="3"/>
        <v>0</v>
      </c>
      <c r="M14" s="11">
        <f t="shared" si="3"/>
        <v>1</v>
      </c>
      <c r="N14" s="12">
        <f t="shared" si="3"/>
        <v>0</v>
      </c>
      <c r="O14" t="s">
        <v>26</v>
      </c>
      <c r="P14" s="11">
        <f t="shared" si="3"/>
        <v>1</v>
      </c>
      <c r="Q14" s="12">
        <f t="shared" si="3"/>
        <v>0</v>
      </c>
      <c r="R14" s="11">
        <f t="shared" si="3"/>
        <v>1</v>
      </c>
      <c r="S14" s="12">
        <f t="shared" si="3"/>
        <v>0</v>
      </c>
      <c r="T14" t="s">
        <v>26</v>
      </c>
      <c r="U14" s="12">
        <f t="shared" si="3"/>
        <v>0</v>
      </c>
      <c r="V14" s="11">
        <f t="shared" si="3"/>
        <v>1</v>
      </c>
      <c r="W14" s="11">
        <f t="shared" si="3"/>
        <v>1</v>
      </c>
      <c r="X14" s="12">
        <f t="shared" si="3"/>
        <v>0</v>
      </c>
      <c r="Z14">
        <f t="shared" si="2"/>
        <v>58022</v>
      </c>
    </row>
    <row r="15" spans="1:27" x14ac:dyDescent="0.35">
      <c r="A15" t="s">
        <v>13</v>
      </c>
      <c r="B15">
        <f t="shared" si="5"/>
        <v>-17205</v>
      </c>
      <c r="E15" t="s">
        <v>25</v>
      </c>
      <c r="F15" s="11">
        <f t="shared" si="4"/>
        <v>1</v>
      </c>
      <c r="G15" s="12">
        <f t="shared" si="3"/>
        <v>0</v>
      </c>
      <c r="H15" s="11">
        <f t="shared" si="3"/>
        <v>1</v>
      </c>
      <c r="I15" s="11">
        <f t="shared" si="3"/>
        <v>1</v>
      </c>
      <c r="J15" t="s">
        <v>26</v>
      </c>
      <c r="K15" s="11">
        <f t="shared" si="3"/>
        <v>1</v>
      </c>
      <c r="L15" s="11">
        <f t="shared" si="3"/>
        <v>1</v>
      </c>
      <c r="M15" s="12">
        <f t="shared" si="3"/>
        <v>0</v>
      </c>
      <c r="N15" s="12">
        <f t="shared" si="3"/>
        <v>0</v>
      </c>
      <c r="O15" t="s">
        <v>26</v>
      </c>
      <c r="P15" s="11">
        <f t="shared" si="3"/>
        <v>1</v>
      </c>
      <c r="Q15" s="11">
        <f t="shared" si="3"/>
        <v>1</v>
      </c>
      <c r="R15" s="12">
        <f t="shared" si="3"/>
        <v>0</v>
      </c>
      <c r="S15" s="12">
        <f t="shared" si="3"/>
        <v>0</v>
      </c>
      <c r="T15" t="s">
        <v>26</v>
      </c>
      <c r="U15" s="11">
        <f t="shared" si="3"/>
        <v>1</v>
      </c>
      <c r="V15" s="12">
        <f t="shared" si="3"/>
        <v>0</v>
      </c>
      <c r="W15" s="11">
        <f t="shared" si="3"/>
        <v>1</v>
      </c>
      <c r="X15" s="11">
        <f t="shared" si="3"/>
        <v>1</v>
      </c>
      <c r="Z15">
        <f>SERIESSUM(2,15,-1,F15:I15) + SERIESSUM(2,11,-1,K15:N15) + SERIESSUM(2,7,-1,P15:S15) + SERIESSUM(2,3,-1,U15:X15)</f>
        <v>48331</v>
      </c>
    </row>
    <row r="17" spans="1:27" x14ac:dyDescent="0.35">
      <c r="AA17" t="s">
        <v>35</v>
      </c>
    </row>
    <row r="18" spans="1:27" x14ac:dyDescent="0.35">
      <c r="A18" s="2" t="s">
        <v>41</v>
      </c>
      <c r="B18" s="3">
        <f>IF(OR(F18+F19 = 2, AND(F18+F19 = 1, F20 = 0)), 1, 0)</f>
        <v>0</v>
      </c>
      <c r="C18" s="3" t="s">
        <v>36</v>
      </c>
      <c r="D18" s="4">
        <f>IF(SUM(F20:I20,K20:N20,P20:S20,U20:X20) = 0,1,0)</f>
        <v>0</v>
      </c>
      <c r="E18" t="s">
        <v>14</v>
      </c>
      <c r="F18">
        <f>F4</f>
        <v>0</v>
      </c>
      <c r="G18">
        <f t="shared" ref="G18:X19" si="6">G4</f>
        <v>0</v>
      </c>
      <c r="H18">
        <f t="shared" si="6"/>
        <v>1</v>
      </c>
      <c r="I18">
        <f t="shared" si="6"/>
        <v>0</v>
      </c>
      <c r="J18" t="str">
        <f t="shared" si="6"/>
        <v>.</v>
      </c>
      <c r="K18">
        <f t="shared" si="6"/>
        <v>1</v>
      </c>
      <c r="L18">
        <f t="shared" si="6"/>
        <v>0</v>
      </c>
      <c r="M18">
        <f t="shared" si="6"/>
        <v>1</v>
      </c>
      <c r="N18">
        <f t="shared" si="6"/>
        <v>1</v>
      </c>
      <c r="O18" t="str">
        <f t="shared" si="6"/>
        <v>.</v>
      </c>
      <c r="P18">
        <f t="shared" si="6"/>
        <v>0</v>
      </c>
      <c r="Q18">
        <f t="shared" si="6"/>
        <v>1</v>
      </c>
      <c r="R18">
        <f t="shared" si="6"/>
        <v>0</v>
      </c>
      <c r="S18">
        <f t="shared" si="6"/>
        <v>1</v>
      </c>
      <c r="T18" t="str">
        <f t="shared" si="6"/>
        <v>.</v>
      </c>
      <c r="U18">
        <f t="shared" si="6"/>
        <v>1</v>
      </c>
      <c r="V18">
        <f t="shared" si="6"/>
        <v>1</v>
      </c>
      <c r="W18">
        <f t="shared" si="6"/>
        <v>0</v>
      </c>
      <c r="X18">
        <f t="shared" si="6"/>
        <v>1</v>
      </c>
      <c r="AA18" s="10" t="str">
        <f>IF(D20=1,"Результатт некорректен, переполнение.",CONCATENATE("Результат корректен.",IF(B18=1,"Перенос.", ""),IF(D19=1,"Результат отрицательный.","Результат положительный")))</f>
        <v>Результат корректен.Результат положительный</v>
      </c>
    </row>
    <row r="19" spans="1:27" x14ac:dyDescent="0.35">
      <c r="A19" s="5" t="s">
        <v>39</v>
      </c>
      <c r="B19">
        <f>IF(MOD(SUM(U20:X20,P20:S20),2) = 0,1,0)</f>
        <v>1</v>
      </c>
      <c r="C19" t="s">
        <v>37</v>
      </c>
      <c r="D19" s="6">
        <f>F20</f>
        <v>0</v>
      </c>
      <c r="E19" t="s">
        <v>15</v>
      </c>
      <c r="F19">
        <f>F5</f>
        <v>0</v>
      </c>
      <c r="G19">
        <f t="shared" si="6"/>
        <v>1</v>
      </c>
      <c r="H19">
        <f t="shared" si="6"/>
        <v>0</v>
      </c>
      <c r="I19">
        <f t="shared" si="6"/>
        <v>0</v>
      </c>
      <c r="J19" t="str">
        <f t="shared" si="6"/>
        <v>.</v>
      </c>
      <c r="K19">
        <f t="shared" si="6"/>
        <v>1</v>
      </c>
      <c r="L19">
        <f t="shared" si="6"/>
        <v>0</v>
      </c>
      <c r="M19">
        <f t="shared" si="6"/>
        <v>0</v>
      </c>
      <c r="N19">
        <f t="shared" si="6"/>
        <v>0</v>
      </c>
      <c r="O19" t="str">
        <f t="shared" si="6"/>
        <v>.</v>
      </c>
      <c r="P19">
        <f t="shared" si="6"/>
        <v>1</v>
      </c>
      <c r="Q19">
        <f t="shared" si="6"/>
        <v>0</v>
      </c>
      <c r="R19">
        <f t="shared" si="6"/>
        <v>1</v>
      </c>
      <c r="S19">
        <f t="shared" si="6"/>
        <v>1</v>
      </c>
      <c r="T19" t="str">
        <f t="shared" si="6"/>
        <v>.</v>
      </c>
      <c r="U19">
        <f t="shared" si="6"/>
        <v>0</v>
      </c>
      <c r="V19">
        <f t="shared" si="6"/>
        <v>1</v>
      </c>
      <c r="W19">
        <f t="shared" si="6"/>
        <v>1</v>
      </c>
      <c r="X19">
        <f t="shared" si="6"/>
        <v>1</v>
      </c>
      <c r="AA19" s="10"/>
    </row>
    <row r="20" spans="1:27" x14ac:dyDescent="0.35">
      <c r="A20" s="7" t="s">
        <v>40</v>
      </c>
      <c r="B20" s="8">
        <f>IF(OR(U18+U19 = 2, AND(U18+U19 = 1, U20 = 0)), 1, 0)</f>
        <v>1</v>
      </c>
      <c r="C20" s="8" t="s">
        <v>38</v>
      </c>
      <c r="D20" s="9">
        <f>IF(OR(AND(F18 = 0,F19 = 0,F20 = 1),AND(F18 = 1, F19 = 1,F20 = 0)),1,0)</f>
        <v>0</v>
      </c>
      <c r="E20" t="s">
        <v>27</v>
      </c>
      <c r="F20">
        <f>IF(G20 = ".",MOD(F18+F19+QUOTIENT(H18+H19+IF(H20 = MOD(H18+H19,2),0,1),2),2),MOD(F18+F19+QUOTIENT(G18+G19+IF(G20 = MOD(G18+G19,2),0,1),2),2))</f>
        <v>0</v>
      </c>
      <c r="G20">
        <f t="shared" ref="G20" si="7">IF(H20 = ".",MOD(G18+G19+QUOTIENT(I18+I19+IF(I20 = MOD(I18+I19,2),0,1),2),2),MOD(G18+G19+QUOTIENT(H18+H19+IF(H20 = MOD(H18+H19,2),0,1),2),2))</f>
        <v>1</v>
      </c>
      <c r="H20">
        <f t="shared" ref="H20" si="8">IF(I20 = ".",MOD(H18+H19+QUOTIENT(J18+J19+IF(J20 = MOD(J18+J19,2),0,1),2),2),MOD(H18+H19+QUOTIENT(I18+I19+IF(I20 = MOD(I18+I19,2),0,1),2),2))</f>
        <v>1</v>
      </c>
      <c r="I20">
        <f t="shared" ref="I20" si="9">IF(J20 = ".",MOD(I18+I19+QUOTIENT(K18+K19+IF(K20 = MOD(K18+K19,2),0,1),2),2),MOD(I18+I19+QUOTIENT(J18+J19+IF(J20 = MOD(J18+J19,2),0,1),2),2))</f>
        <v>1</v>
      </c>
      <c r="J20" t="s">
        <v>26</v>
      </c>
      <c r="K20">
        <f t="shared" ref="K20" si="10">IF(L20 = ".",MOD(K18+K19+QUOTIENT(M18+M19+IF(M20 = MOD(M18+M19,2),0,1),2),2),MOD(K18+K19+QUOTIENT(L18+L19+IF(L20 = MOD(L18+L19,2),0,1),2),2))</f>
        <v>0</v>
      </c>
      <c r="L20">
        <f t="shared" ref="L20" si="11">IF(M20 = ".",MOD(L18+L19+QUOTIENT(N18+N19+IF(N20 = MOD(N18+N19,2),0,1),2),2),MOD(L18+L19+QUOTIENT(M18+M19+IF(M20 = MOD(M18+M19,2),0,1),2),2))</f>
        <v>1</v>
      </c>
      <c r="M20">
        <f t="shared" ref="M20" si="12">IF(N20 = ".",MOD(M18+M19+QUOTIENT(O18+O19+IF(O20 = MOD(O18+O19,2),0,1),2),2),MOD(M18+M19+QUOTIENT(N18+N19+IF(N20 = MOD(N18+N19,2),0,1),2),2))</f>
        <v>0</v>
      </c>
      <c r="N20">
        <f>IF(O20 = ".",MOD(N18+N19+QUOTIENT(P18+P19+IF(P20 = MOD(P18+P19,2),0,1),2),2),MOD(N18+N19+QUOTIENT(O18+O19+IF(O20 = MOD(O18+O19,2),0,1),2),2))</f>
        <v>0</v>
      </c>
      <c r="O20" t="s">
        <v>26</v>
      </c>
      <c r="P20">
        <f t="shared" ref="P20" si="13">IF(Q20 = ".",MOD(P18+P19+QUOTIENT(R18+R19+IF(R20 = MOD(R18+R19,2),0,1),2),2),MOD(P18+P19+QUOTIENT(Q18+Q19+IF(Q20 = MOD(Q18+Q19,2),0,1),2),2))</f>
        <v>0</v>
      </c>
      <c r="Q20">
        <f t="shared" ref="Q20" si="14">IF(R20 = ".",MOD(Q18+Q19+QUOTIENT(S18+S19+IF(S20 = MOD(S18+S19,2),0,1),2),2),MOD(Q18+Q19+QUOTIENT(R18+R19+IF(R20 = MOD(R18+R19,2),0,1),2),2))</f>
        <v>0</v>
      </c>
      <c r="R20">
        <f t="shared" ref="R20" si="15">IF(S20 = ".",MOD(R18+R19+QUOTIENT(T18+T19+IF(T20 = MOD(T18+T19,2),0,1),2),2),MOD(R18+R19+QUOTIENT(S18+S19+IF(S20 = MOD(S18+S19,2),0,1),2),2))</f>
        <v>0</v>
      </c>
      <c r="S20">
        <f>IF(T20 = ".",MOD(S18+S19+QUOTIENT(U18+U19+IF(U20 = MOD(U18+U19,2),0,1),2),2),MOD(S18+S19+QUOTIENT(T18+T19+IF(T20 = MOD(T18+T19,2),0,1),2),2))</f>
        <v>1</v>
      </c>
      <c r="T20" t="s">
        <v>26</v>
      </c>
      <c r="U20">
        <f t="shared" ref="U20" si="16">IF(V20 = ".",MOD(U18+U19+QUOTIENT(W18+W19+IF(W20 = MOD(W18+W19,2),0,1),2),2),MOD(U18+U19+QUOTIENT(V18+V19+IF(V20 = MOD(V18+V19,2),0,1),2),2))</f>
        <v>0</v>
      </c>
      <c r="V20">
        <f>IF(W20 = ".",MOD(V18+V19+QUOTIENT(X18+X19+IF(X20 = MOD(X18+X19,2),0,1),2),2),MOD(V18+V19+QUOTIENT(W18+W19+IF(W20 = MOD(W18+W19,2),0,1),2),2))</f>
        <v>1</v>
      </c>
      <c r="W20">
        <f t="shared" ref="W20" si="17">IF(X20 = ".",MOD(W18+W19+QUOTIENT(Y18+Y19+IF(Y20 = MOD(Y18+Y19,2),0,1),2),2),MOD(W18+W19+QUOTIENT(X18+X19+IF(X20 = MOD(X18+X19,2),0,1),2),2))</f>
        <v>0</v>
      </c>
      <c r="X20">
        <f t="shared" ref="X20" si="18">IF(Y20 = ".",MOD(X18+X19+QUOTIENT(Z18+Z19+IF(Z20 = MOD(Z18+Z19,2),0,1),2),2),MOD(X18+X19+QUOTIENT(Y18+Y19+IF(Y20 = MOD(Y18+Y19,2),0,1),2),2))</f>
        <v>0</v>
      </c>
      <c r="Z20">
        <f>SERIESSUM(2,15,-1,F20:I20) + SERIESSUM(2,11,-1,K20:N20) + SERIESSUM(2,7,-1,P20:S20) + SERIESSUM(2,3,-1,U20:X20)</f>
        <v>29716</v>
      </c>
      <c r="AA20" s="10"/>
    </row>
    <row r="21" spans="1:27" ht="14.4" customHeight="1" x14ac:dyDescent="0.35">
      <c r="AA21" s="1"/>
    </row>
    <row r="22" spans="1:27" ht="14.5" customHeight="1" x14ac:dyDescent="0.35">
      <c r="A22" s="2" t="s">
        <v>41</v>
      </c>
      <c r="B22" s="3">
        <f>IF(OR(F22+F23 = 2, AND(F22+F23 = 1, F24 = 0)), 1, 0)</f>
        <v>0</v>
      </c>
      <c r="C22" s="3" t="s">
        <v>36</v>
      </c>
      <c r="D22" s="4">
        <f>IF(SUM(F24:I24,K24:N24,P24:S24,U24:X24) = 0,1,0)</f>
        <v>0</v>
      </c>
      <c r="E22" t="s">
        <v>15</v>
      </c>
      <c r="F22">
        <f>F5</f>
        <v>0</v>
      </c>
      <c r="G22">
        <f t="shared" ref="G22:X22" si="19">G5</f>
        <v>1</v>
      </c>
      <c r="H22">
        <f t="shared" si="19"/>
        <v>0</v>
      </c>
      <c r="I22">
        <f t="shared" si="19"/>
        <v>0</v>
      </c>
      <c r="J22" t="str">
        <f t="shared" si="19"/>
        <v>.</v>
      </c>
      <c r="K22">
        <f t="shared" si="19"/>
        <v>1</v>
      </c>
      <c r="L22">
        <f t="shared" si="19"/>
        <v>0</v>
      </c>
      <c r="M22">
        <f t="shared" si="19"/>
        <v>0</v>
      </c>
      <c r="N22">
        <f t="shared" si="19"/>
        <v>0</v>
      </c>
      <c r="O22" t="str">
        <f t="shared" si="19"/>
        <v>.</v>
      </c>
      <c r="P22">
        <f t="shared" si="19"/>
        <v>1</v>
      </c>
      <c r="Q22">
        <f t="shared" si="19"/>
        <v>0</v>
      </c>
      <c r="R22">
        <f t="shared" si="19"/>
        <v>1</v>
      </c>
      <c r="S22">
        <f t="shared" si="19"/>
        <v>1</v>
      </c>
      <c r="T22" t="str">
        <f t="shared" si="19"/>
        <v>.</v>
      </c>
      <c r="U22">
        <f t="shared" si="19"/>
        <v>0</v>
      </c>
      <c r="V22">
        <f t="shared" si="19"/>
        <v>1</v>
      </c>
      <c r="W22">
        <f t="shared" si="19"/>
        <v>1</v>
      </c>
      <c r="X22">
        <f t="shared" si="19"/>
        <v>1</v>
      </c>
      <c r="AA22" s="10" t="str">
        <f>IF(D24=1,"Результатт некорректен, переполнение.",CONCATENATE("Результат корректен.",IF(B22=1,"Перенос.", ""),IF(D23=1,"Результат отрицательный.","Результат положительный")))</f>
        <v>Результатт некорректен, переполнение.</v>
      </c>
    </row>
    <row r="23" spans="1:27" x14ac:dyDescent="0.35">
      <c r="A23" s="5" t="s">
        <v>39</v>
      </c>
      <c r="B23">
        <f>IF(MOD(SUM(U24:X24,P24:S24),2) = 0,1,0)</f>
        <v>0</v>
      </c>
      <c r="C23" t="s">
        <v>37</v>
      </c>
      <c r="D23" s="6">
        <f>F24</f>
        <v>1</v>
      </c>
      <c r="E23" t="s">
        <v>16</v>
      </c>
      <c r="F23">
        <f>F6</f>
        <v>0</v>
      </c>
      <c r="G23">
        <f t="shared" ref="G23:X23" si="20">G6</f>
        <v>1</v>
      </c>
      <c r="H23">
        <f t="shared" si="20"/>
        <v>1</v>
      </c>
      <c r="I23">
        <f t="shared" si="20"/>
        <v>1</v>
      </c>
      <c r="J23" t="str">
        <f t="shared" si="20"/>
        <v>.</v>
      </c>
      <c r="K23">
        <f t="shared" si="20"/>
        <v>0</v>
      </c>
      <c r="L23">
        <f t="shared" si="20"/>
        <v>1</v>
      </c>
      <c r="M23">
        <f t="shared" si="20"/>
        <v>0</v>
      </c>
      <c r="N23">
        <f t="shared" si="20"/>
        <v>0</v>
      </c>
      <c r="O23" t="str">
        <f t="shared" si="20"/>
        <v>.</v>
      </c>
      <c r="P23">
        <f t="shared" si="20"/>
        <v>0</v>
      </c>
      <c r="Q23">
        <f t="shared" si="20"/>
        <v>0</v>
      </c>
      <c r="R23">
        <f t="shared" si="20"/>
        <v>0</v>
      </c>
      <c r="S23">
        <f t="shared" si="20"/>
        <v>1</v>
      </c>
      <c r="T23" t="str">
        <f t="shared" si="20"/>
        <v>.</v>
      </c>
      <c r="U23">
        <f t="shared" si="20"/>
        <v>0</v>
      </c>
      <c r="V23">
        <f t="shared" si="20"/>
        <v>1</v>
      </c>
      <c r="W23">
        <f t="shared" si="20"/>
        <v>0</v>
      </c>
      <c r="X23">
        <f t="shared" si="20"/>
        <v>0</v>
      </c>
      <c r="AA23" s="10"/>
    </row>
    <row r="24" spans="1:27" x14ac:dyDescent="0.35">
      <c r="A24" s="7" t="s">
        <v>40</v>
      </c>
      <c r="B24" s="8">
        <f>IF(OR(U22+U23 = 2, AND(U22+U23 = 1, U24 = 0)), 1, 0)</f>
        <v>0</v>
      </c>
      <c r="C24" s="8" t="s">
        <v>38</v>
      </c>
      <c r="D24" s="9">
        <f>IF(OR(AND(F22 = 0,F23 = 0,F24 = 1),AND(F22 = 1, F23 = 1,F24 = 0)),1,0)</f>
        <v>1</v>
      </c>
      <c r="E24" t="s">
        <v>28</v>
      </c>
      <c r="F24">
        <f t="shared" ref="F24" si="21">IF(G24 = ".",MOD(F22+F23+QUOTIENT(H22+H23+IF(H24 = MOD(H22+H23,2),0,1),2),2),MOD(F22+F23+QUOTIENT(G22+G23+IF(G24 = MOD(G22+G23,2),0,1),2),2))</f>
        <v>1</v>
      </c>
      <c r="G24">
        <f t="shared" ref="G24" si="22">IF(H24 = ".",MOD(G22+G23+QUOTIENT(I22+I23+IF(I24 = MOD(I22+I23,2),0,1),2),2),MOD(G22+G23+QUOTIENT(H22+H23+IF(H24 = MOD(H22+H23,2),0,1),2),2))</f>
        <v>0</v>
      </c>
      <c r="H24">
        <f t="shared" ref="H24" si="23">IF(I24 = ".",MOD(H22+H23+QUOTIENT(J22+J23+IF(J24 = MOD(J22+J23,2),0,1),2),2),MOD(H22+H23+QUOTIENT(I22+I23+IF(I24 = MOD(I22+I23,2),0,1),2),2))</f>
        <v>1</v>
      </c>
      <c r="I24">
        <f t="shared" ref="I24" si="24">IF(J24 = ".",MOD(I22+I23+QUOTIENT(K22+K23+IF(K24 = MOD(K22+K23,2),0,1),2),2),MOD(I22+I23+QUOTIENT(J22+J23+IF(J24 = MOD(J22+J23,2),0,1),2),2))</f>
        <v>1</v>
      </c>
      <c r="J24" t="s">
        <v>26</v>
      </c>
      <c r="K24">
        <f t="shared" ref="K24" si="25">IF(L24 = ".",MOD(K22+K23+QUOTIENT(M22+M23+IF(M24 = MOD(M22+M23,2),0,1),2),2),MOD(K22+K23+QUOTIENT(L22+L23+IF(L24 = MOD(L22+L23,2),0,1),2),2))</f>
        <v>1</v>
      </c>
      <c r="L24">
        <f t="shared" ref="L24" si="26">IF(M24 = ".",MOD(L22+L23+QUOTIENT(N22+N23+IF(N24 = MOD(N22+N23,2),0,1),2),2),MOD(L22+L23+QUOTIENT(M22+M23+IF(M24 = MOD(M22+M23,2),0,1),2),2))</f>
        <v>1</v>
      </c>
      <c r="M24">
        <f t="shared" ref="M24" si="27">IF(N24 = ".",MOD(M22+M23+QUOTIENT(O22+O23+IF(O24 = MOD(O22+O23,2),0,1),2),2),MOD(M22+M23+QUOTIENT(N22+N23+IF(N24 = MOD(N22+N23,2),0,1),2),2))</f>
        <v>0</v>
      </c>
      <c r="N24">
        <f>IF(O24 = ".",MOD(N22+N23+QUOTIENT(P22+P23+IF(P24 = MOD(P22+P23,2),0,1),2),2),MOD(N22+N23+QUOTIENT(O22+O23+IF(O24 = MOD(O22+O23,2),0,1),2),2))</f>
        <v>0</v>
      </c>
      <c r="O24" t="s">
        <v>26</v>
      </c>
      <c r="P24">
        <f t="shared" ref="P24" si="28">IF(Q24 = ".",MOD(P22+P23+QUOTIENT(R22+R23+IF(R24 = MOD(R22+R23,2),0,1),2),2),MOD(P22+P23+QUOTIENT(Q22+Q23+IF(Q24 = MOD(Q22+Q23,2),0,1),2),2))</f>
        <v>1</v>
      </c>
      <c r="Q24">
        <f t="shared" ref="Q24" si="29">IF(R24 = ".",MOD(Q22+Q23+QUOTIENT(S22+S23+IF(S24 = MOD(S22+S23,2),0,1),2),2),MOD(Q22+Q23+QUOTIENT(R22+R23+IF(R24 = MOD(R22+R23,2),0,1),2),2))</f>
        <v>1</v>
      </c>
      <c r="R24">
        <f t="shared" ref="R24" si="30">IF(S24 = ".",MOD(R22+R23+QUOTIENT(T22+T23+IF(T24 = MOD(T22+T23,2),0,1),2),2),MOD(R22+R23+QUOTIENT(S22+S23+IF(S24 = MOD(S22+S23,2),0,1),2),2))</f>
        <v>0</v>
      </c>
      <c r="S24">
        <f t="shared" ref="S24" si="31">IF(T24 = ".",MOD(S22+S23+QUOTIENT(U22+U23+IF(U24 = MOD(U22+U23,2),0,1),2),2),MOD(S22+S23+QUOTIENT(T22+T23+IF(T24 = MOD(T22+T23,2),0,1),2),2))</f>
        <v>0</v>
      </c>
      <c r="T24" t="s">
        <v>26</v>
      </c>
      <c r="U24">
        <f t="shared" ref="U24" si="32">IF(V24 = ".",MOD(U22+U23+QUOTIENT(W22+W23+IF(W24 = MOD(W22+W23,2),0,1),2),2),MOD(U22+U23+QUOTIENT(V22+V23+IF(V24 = MOD(V22+V23,2),0,1),2),2))</f>
        <v>1</v>
      </c>
      <c r="V24">
        <f t="shared" ref="V24" si="33">IF(W24 = ".",MOD(V22+V23+QUOTIENT(X22+X23+IF(X24 = MOD(X22+X23,2),0,1),2),2),MOD(V22+V23+QUOTIENT(W22+W23+IF(W24 = MOD(W22+W23,2),0,1),2),2))</f>
        <v>0</v>
      </c>
      <c r="W24">
        <f t="shared" ref="W24" si="34">IF(X24 = ".",MOD(W22+W23+QUOTIENT(Y22+Y23+IF(Y24 = MOD(Y22+Y23,2),0,1),2),2),MOD(W22+W23+QUOTIENT(X22+X23+IF(X24 = MOD(X22+X23,2),0,1),2),2))</f>
        <v>1</v>
      </c>
      <c r="X24">
        <f t="shared" ref="X24" si="35">IF(Y24 = ".",MOD(X22+X23+QUOTIENT(Z22+Z23+IF(Z24 = MOD(Z22+Z23,2),0,1),2),2),MOD(X22+X23+QUOTIENT(Y22+Y23+IF(Y24 = MOD(Y22+Y23,2),0,1),2),2))</f>
        <v>1</v>
      </c>
      <c r="Z24">
        <f>SERIESSUM(2,15,-1,F24:I24) + SERIESSUM(2,11,-1,K24:N24) + SERIESSUM(2,7,-1,P24:S24) + SERIESSUM(2,3,-1,U24:X24) - 65536*IF(F24 = 1, 1, 0)</f>
        <v>-17205</v>
      </c>
      <c r="AA24" s="10"/>
    </row>
    <row r="26" spans="1:27" ht="14.5" customHeight="1" x14ac:dyDescent="0.35">
      <c r="A26" s="2" t="s">
        <v>41</v>
      </c>
      <c r="B26" s="3">
        <f>IF(OR(F26+F27 = 2, AND(F26+F27 = 1, F28 = 0)), 1, 0)</f>
        <v>1</v>
      </c>
      <c r="C26" s="3" t="s">
        <v>36</v>
      </c>
      <c r="D26" s="4">
        <f>IF(SUM(F28:I28,K28:N28,P28:S28,U28:X28) = 0,1,0)</f>
        <v>0</v>
      </c>
      <c r="E26" t="s">
        <v>15</v>
      </c>
      <c r="F26">
        <f>F5</f>
        <v>0</v>
      </c>
      <c r="G26">
        <f t="shared" ref="G26:X26" si="36">G5</f>
        <v>1</v>
      </c>
      <c r="H26">
        <f t="shared" si="36"/>
        <v>0</v>
      </c>
      <c r="I26">
        <f t="shared" si="36"/>
        <v>0</v>
      </c>
      <c r="J26" t="str">
        <f t="shared" si="36"/>
        <v>.</v>
      </c>
      <c r="K26">
        <f t="shared" si="36"/>
        <v>1</v>
      </c>
      <c r="L26">
        <f t="shared" si="36"/>
        <v>0</v>
      </c>
      <c r="M26">
        <f t="shared" si="36"/>
        <v>0</v>
      </c>
      <c r="N26">
        <f t="shared" si="36"/>
        <v>0</v>
      </c>
      <c r="O26" t="str">
        <f t="shared" si="36"/>
        <v>.</v>
      </c>
      <c r="P26">
        <f t="shared" si="36"/>
        <v>1</v>
      </c>
      <c r="Q26">
        <f t="shared" si="36"/>
        <v>0</v>
      </c>
      <c r="R26">
        <f t="shared" si="36"/>
        <v>1</v>
      </c>
      <c r="S26">
        <f t="shared" si="36"/>
        <v>1</v>
      </c>
      <c r="T26" t="str">
        <f t="shared" si="36"/>
        <v>.</v>
      </c>
      <c r="U26">
        <f t="shared" si="36"/>
        <v>0</v>
      </c>
      <c r="V26">
        <f t="shared" si="36"/>
        <v>1</v>
      </c>
      <c r="W26">
        <f t="shared" si="36"/>
        <v>1</v>
      </c>
      <c r="X26">
        <f t="shared" si="36"/>
        <v>1</v>
      </c>
      <c r="AA26" s="10" t="str">
        <f>IF(D28=1,"Результатт некорректен, переполнение.",CONCATENATE("Результат корректен.",IF(B26=1,"Перенос.", ""),IF(D27=1,"Результат отрицательный.","Результат положительный")))</f>
        <v>Результат корректен.Перенос.Результат положительный</v>
      </c>
    </row>
    <row r="27" spans="1:27" x14ac:dyDescent="0.35">
      <c r="A27" s="5" t="s">
        <v>39</v>
      </c>
      <c r="B27">
        <f>IF(MOD(SUM(U28:X28,P28:S28),2) = 0,1,0)</f>
        <v>1</v>
      </c>
      <c r="C27" t="s">
        <v>37</v>
      </c>
      <c r="D27" s="6">
        <f>F28</f>
        <v>0</v>
      </c>
      <c r="E27" t="s">
        <v>20</v>
      </c>
      <c r="F27">
        <f>F10</f>
        <v>1</v>
      </c>
      <c r="G27">
        <f t="shared" ref="G27:X27" si="37">G10</f>
        <v>1</v>
      </c>
      <c r="H27">
        <f t="shared" si="37"/>
        <v>0</v>
      </c>
      <c r="I27">
        <f t="shared" si="37"/>
        <v>1</v>
      </c>
      <c r="J27" t="str">
        <f t="shared" si="37"/>
        <v>.</v>
      </c>
      <c r="K27">
        <f t="shared" si="37"/>
        <v>0</v>
      </c>
      <c r="L27">
        <f t="shared" si="37"/>
        <v>1</v>
      </c>
      <c r="M27">
        <f t="shared" si="37"/>
        <v>0</v>
      </c>
      <c r="N27">
        <f t="shared" si="37"/>
        <v>0</v>
      </c>
      <c r="O27" t="str">
        <f t="shared" si="37"/>
        <v>.</v>
      </c>
      <c r="P27">
        <f t="shared" si="37"/>
        <v>1</v>
      </c>
      <c r="Q27">
        <f t="shared" si="37"/>
        <v>0</v>
      </c>
      <c r="R27">
        <f t="shared" si="37"/>
        <v>1</v>
      </c>
      <c r="S27">
        <f t="shared" si="37"/>
        <v>0</v>
      </c>
      <c r="T27" t="str">
        <f t="shared" si="37"/>
        <v>.</v>
      </c>
      <c r="U27">
        <f t="shared" si="37"/>
        <v>0</v>
      </c>
      <c r="V27">
        <f t="shared" si="37"/>
        <v>0</v>
      </c>
      <c r="W27">
        <f t="shared" si="37"/>
        <v>1</v>
      </c>
      <c r="X27">
        <f t="shared" si="37"/>
        <v>1</v>
      </c>
      <c r="AA27" s="10"/>
    </row>
    <row r="28" spans="1:27" x14ac:dyDescent="0.35">
      <c r="A28" s="7" t="s">
        <v>40</v>
      </c>
      <c r="B28" s="8">
        <f>IF(OR(U26+U27 = 2, AND(U26+U27 = 1, U28 = 0)), 1, 0)</f>
        <v>0</v>
      </c>
      <c r="C28" s="8" t="s">
        <v>38</v>
      </c>
      <c r="D28" s="9">
        <f>IF(OR(AND(F26 = 0,F27 = 0,F28 = 1),AND(F26 = 1, F27 = 1,F28 = 0)),1,0)</f>
        <v>0</v>
      </c>
      <c r="E28" t="s">
        <v>29</v>
      </c>
      <c r="F28">
        <f t="shared" ref="F28" si="38">IF(G28 = ".",MOD(F26+F27+QUOTIENT(H26+H27+IF(H28 = MOD(H26+H27,2),0,1),2),2),MOD(F26+F27+QUOTIENT(G26+G27+IF(G28 = MOD(G26+G27,2),0,1),2),2))</f>
        <v>0</v>
      </c>
      <c r="G28">
        <f t="shared" ref="G28" si="39">IF(H28 = ".",MOD(G26+G27+QUOTIENT(I26+I27+IF(I28 = MOD(I26+I27,2),0,1),2),2),MOD(G26+G27+QUOTIENT(H26+H27+IF(H28 = MOD(H26+H27,2),0,1),2),2))</f>
        <v>0</v>
      </c>
      <c r="H28">
        <f t="shared" ref="H28" si="40">IF(I28 = ".",MOD(H26+H27+QUOTIENT(J26+J27+IF(J28 = MOD(J26+J27,2),0,1),2),2),MOD(H26+H27+QUOTIENT(I26+I27+IF(I28 = MOD(I26+I27,2),0,1),2),2))</f>
        <v>0</v>
      </c>
      <c r="I28">
        <f t="shared" ref="I28" si="41">IF(J28 = ".",MOD(I26+I27+QUOTIENT(K26+K27+IF(K28 = MOD(K26+K27,2),0,1),2),2),MOD(I26+I27+QUOTIENT(J26+J27+IF(J28 = MOD(J26+J27,2),0,1),2),2))</f>
        <v>1</v>
      </c>
      <c r="J28" t="s">
        <v>26</v>
      </c>
      <c r="K28">
        <f t="shared" ref="K28" si="42">IF(L28 = ".",MOD(K26+K27+QUOTIENT(M26+M27+IF(M28 = MOD(M26+M27,2),0,1),2),2),MOD(K26+K27+QUOTIENT(L26+L27+IF(L28 = MOD(L26+L27,2),0,1),2),2))</f>
        <v>1</v>
      </c>
      <c r="L28">
        <f t="shared" ref="L28" si="43">IF(M28 = ".",MOD(L26+L27+QUOTIENT(N26+N27+IF(N28 = MOD(N26+N27,2),0,1),2),2),MOD(L26+L27+QUOTIENT(M26+M27+IF(M28 = MOD(M26+M27,2),0,1),2),2))</f>
        <v>1</v>
      </c>
      <c r="M28">
        <f t="shared" ref="M28" si="44">IF(N28 = ".",MOD(M26+M27+QUOTIENT(O26+O27+IF(O28 = MOD(O26+O27,2),0,1),2),2),MOD(M26+M27+QUOTIENT(N26+N27+IF(N28 = MOD(N26+N27,2),0,1),2),2))</f>
        <v>0</v>
      </c>
      <c r="N28">
        <f>IF(O28 = ".",MOD(N26+N27+QUOTIENT(P26+P27+IF(P28 = MOD(P26+P27,2),0,1),2),2),MOD(N26+N27+QUOTIENT(O26+O27+IF(O28 = MOD(O26+O27,2),0,1),2),2))</f>
        <v>1</v>
      </c>
      <c r="O28" t="s">
        <v>26</v>
      </c>
      <c r="P28">
        <f t="shared" ref="P28" si="45">IF(Q28 = ".",MOD(P26+P27+QUOTIENT(R26+R27+IF(R28 = MOD(R26+R27,2),0,1),2),2),MOD(P26+P27+QUOTIENT(Q26+Q27+IF(Q28 = MOD(Q26+Q27,2),0,1),2),2))</f>
        <v>0</v>
      </c>
      <c r="Q28">
        <f t="shared" ref="Q28" si="46">IF(R28 = ".",MOD(Q26+Q27+QUOTIENT(S26+S27+IF(S28 = MOD(S26+S27,2),0,1),2),2),MOD(Q26+Q27+QUOTIENT(R26+R27+IF(R28 = MOD(R26+R27,2),0,1),2),2))</f>
        <v>1</v>
      </c>
      <c r="R28">
        <f t="shared" ref="R28" si="47">IF(S28 = ".",MOD(R26+R27+QUOTIENT(T26+T27+IF(T28 = MOD(T26+T27,2),0,1),2),2),MOD(R26+R27+QUOTIENT(S26+S27+IF(S28 = MOD(S26+S27,2),0,1),2),2))</f>
        <v>0</v>
      </c>
      <c r="S28">
        <f t="shared" ref="S28" si="48">IF(T28 = ".",MOD(S26+S27+QUOTIENT(U26+U27+IF(U28 = MOD(U26+U27,2),0,1),2),2),MOD(S26+S27+QUOTIENT(T26+T27+IF(T28 = MOD(T26+T27,2),0,1),2),2))</f>
        <v>1</v>
      </c>
      <c r="T28" t="s">
        <v>26</v>
      </c>
      <c r="U28">
        <f t="shared" ref="U28" si="49">IF(V28 = ".",MOD(U26+U27+QUOTIENT(W26+W27+IF(W28 = MOD(W26+W27,2),0,1),2),2),MOD(U26+U27+QUOTIENT(V26+V27+IF(V28 = MOD(V26+V27,2),0,1),2),2))</f>
        <v>1</v>
      </c>
      <c r="V28">
        <f t="shared" ref="V28" si="50">IF(W28 = ".",MOD(V26+V27+QUOTIENT(X26+X27+IF(X28 = MOD(X26+X27,2),0,1),2),2),MOD(V26+V27+QUOTIENT(W26+W27+IF(W28 = MOD(W26+W27,2),0,1),2),2))</f>
        <v>0</v>
      </c>
      <c r="W28">
        <f t="shared" ref="W28" si="51">IF(X28 = ".",MOD(W26+W27+QUOTIENT(Y26+Y27+IF(Y28 = MOD(Y26+Y27,2),0,1),2),2),MOD(W26+W27+QUOTIENT(X26+X27+IF(X28 = MOD(X26+X27,2),0,1),2),2))</f>
        <v>1</v>
      </c>
      <c r="X28">
        <f t="shared" ref="X28" si="52">IF(Y28 = ".",MOD(X26+X27+QUOTIENT(Z26+Z27+IF(Z28 = MOD(Z26+Z27,2),0,1),2),2),MOD(X26+X27+QUOTIENT(Y26+Y27+IF(Y28 = MOD(Y26+Y27,2),0,1),2),2))</f>
        <v>0</v>
      </c>
      <c r="Z28">
        <f>SERIESSUM(2,15,-1,F28:I28) + SERIESSUM(2,11,-1,K28:N28) + SERIESSUM(2,7,-1,P28:S28) + SERIESSUM(2,3,-1,U28:X28)</f>
        <v>7514</v>
      </c>
      <c r="AA28" s="10"/>
    </row>
    <row r="30" spans="1:27" ht="14.5" customHeight="1" x14ac:dyDescent="0.35">
      <c r="A30" s="2" t="s">
        <v>41</v>
      </c>
      <c r="B30" s="3">
        <f>IF(OR(F30+F31 = 2, AND(F30+F31 = 1, F32 = 0)), 1, 0)</f>
        <v>1</v>
      </c>
      <c r="C30" s="3" t="s">
        <v>36</v>
      </c>
      <c r="D30" s="4">
        <f>IF(SUM(F32:I32,K32:N32,P32:S32,U32:X32) = 0,1,0)</f>
        <v>0</v>
      </c>
      <c r="E30" t="s">
        <v>20</v>
      </c>
      <c r="F30">
        <f>F10</f>
        <v>1</v>
      </c>
      <c r="G30">
        <f t="shared" ref="G30:X30" si="53">G10</f>
        <v>1</v>
      </c>
      <c r="H30">
        <f t="shared" si="53"/>
        <v>0</v>
      </c>
      <c r="I30">
        <f t="shared" si="53"/>
        <v>1</v>
      </c>
      <c r="J30" t="str">
        <f t="shared" si="53"/>
        <v>.</v>
      </c>
      <c r="K30">
        <f t="shared" si="53"/>
        <v>0</v>
      </c>
      <c r="L30">
        <f t="shared" si="53"/>
        <v>1</v>
      </c>
      <c r="M30">
        <f t="shared" si="53"/>
        <v>0</v>
      </c>
      <c r="N30">
        <f t="shared" si="53"/>
        <v>0</v>
      </c>
      <c r="O30" t="str">
        <f t="shared" si="53"/>
        <v>.</v>
      </c>
      <c r="P30">
        <f t="shared" si="53"/>
        <v>1</v>
      </c>
      <c r="Q30">
        <f t="shared" si="53"/>
        <v>0</v>
      </c>
      <c r="R30">
        <f t="shared" si="53"/>
        <v>1</v>
      </c>
      <c r="S30">
        <f t="shared" si="53"/>
        <v>0</v>
      </c>
      <c r="T30" t="str">
        <f t="shared" si="53"/>
        <v>.</v>
      </c>
      <c r="U30">
        <f t="shared" si="53"/>
        <v>0</v>
      </c>
      <c r="V30">
        <f t="shared" si="53"/>
        <v>0</v>
      </c>
      <c r="W30">
        <f t="shared" si="53"/>
        <v>1</v>
      </c>
      <c r="X30">
        <f t="shared" si="53"/>
        <v>1</v>
      </c>
      <c r="AA30" s="10" t="str">
        <f>IF(D32=1,"Результатт некорректен, переполнение.",CONCATENATE("Результат корректен.",IF(B30=1,"Перенос.", ""),IF(D31=1,"Результат отрицательный.","Результат положительный")))</f>
        <v>Результат корректен.Перенос.Результат отрицательный.</v>
      </c>
    </row>
    <row r="31" spans="1:27" x14ac:dyDescent="0.35">
      <c r="A31" s="5" t="s">
        <v>39</v>
      </c>
      <c r="B31">
        <f>IF(MOD(SUM(U32:X32,P32:S32),2) = 0,1,0)</f>
        <v>0</v>
      </c>
      <c r="C31" t="s">
        <v>37</v>
      </c>
      <c r="D31" s="6">
        <f>F32</f>
        <v>1</v>
      </c>
      <c r="E31" t="s">
        <v>21</v>
      </c>
      <c r="F31">
        <f>F11</f>
        <v>1</v>
      </c>
      <c r="G31">
        <f t="shared" ref="G31:X31" si="54">G11</f>
        <v>0</v>
      </c>
      <c r="H31">
        <f t="shared" si="54"/>
        <v>1</v>
      </c>
      <c r="I31">
        <f t="shared" si="54"/>
        <v>1</v>
      </c>
      <c r="J31" t="str">
        <f t="shared" si="54"/>
        <v>.</v>
      </c>
      <c r="K31">
        <f t="shared" si="54"/>
        <v>0</v>
      </c>
      <c r="L31">
        <f t="shared" si="54"/>
        <v>1</v>
      </c>
      <c r="M31">
        <f t="shared" si="54"/>
        <v>1</v>
      </c>
      <c r="N31">
        <f t="shared" si="54"/>
        <v>1</v>
      </c>
      <c r="O31" t="str">
        <f t="shared" si="54"/>
        <v>.</v>
      </c>
      <c r="P31">
        <f t="shared" si="54"/>
        <v>0</v>
      </c>
      <c r="Q31">
        <f t="shared" si="54"/>
        <v>1</v>
      </c>
      <c r="R31">
        <f t="shared" si="54"/>
        <v>0</v>
      </c>
      <c r="S31">
        <f t="shared" si="54"/>
        <v>0</v>
      </c>
      <c r="T31" t="str">
        <f t="shared" si="54"/>
        <v>.</v>
      </c>
      <c r="U31">
        <f t="shared" si="54"/>
        <v>1</v>
      </c>
      <c r="V31">
        <f t="shared" si="54"/>
        <v>0</v>
      </c>
      <c r="W31">
        <f t="shared" si="54"/>
        <v>0</v>
      </c>
      <c r="X31">
        <f t="shared" si="54"/>
        <v>1</v>
      </c>
      <c r="AA31" s="10"/>
    </row>
    <row r="32" spans="1:27" x14ac:dyDescent="0.35">
      <c r="A32" s="7" t="s">
        <v>40</v>
      </c>
      <c r="B32" s="8">
        <f>IF(OR(U30+U31 = 2, AND(U30+U31 = 1, U32 = 0)), 1, 0)</f>
        <v>0</v>
      </c>
      <c r="C32" s="8" t="s">
        <v>38</v>
      </c>
      <c r="D32" s="9">
        <f>IF(OR(AND(F30 = 0,F31 = 0,F32 = 1),AND(F30 = 1, F31 = 1,F32 = 0)),1,0)</f>
        <v>0</v>
      </c>
      <c r="E32" t="s">
        <v>30</v>
      </c>
      <c r="F32">
        <f t="shared" ref="F32" si="55">IF(G32 = ".",MOD(F30+F31+QUOTIENT(H30+H31+IF(H32 = MOD(H30+H31,2),0,1),2),2),MOD(F30+F31+QUOTIENT(G30+G31+IF(G32 = MOD(G30+G31,2),0,1),2),2))</f>
        <v>1</v>
      </c>
      <c r="G32">
        <f t="shared" ref="G32" si="56">IF(H32 = ".",MOD(G30+G31+QUOTIENT(I30+I31+IF(I32 = MOD(I30+I31,2),0,1),2),2),MOD(G30+G31+QUOTIENT(H30+H31+IF(H32 = MOD(H30+H31,2),0,1),2),2))</f>
        <v>0</v>
      </c>
      <c r="H32">
        <f t="shared" ref="H32" si="57">IF(I32 = ".",MOD(H30+H31+QUOTIENT(J30+J31+IF(J32 = MOD(J30+J31,2),0,1),2),2),MOD(H30+H31+QUOTIENT(I30+I31+IF(I32 = MOD(I30+I31,2),0,1),2),2))</f>
        <v>0</v>
      </c>
      <c r="I32">
        <f t="shared" ref="I32" si="58">IF(J32 = ".",MOD(I30+I31+QUOTIENT(K30+K31+IF(K32 = MOD(K30+K31,2),0,1),2),2),MOD(I30+I31+QUOTIENT(J30+J31+IF(J32 = MOD(J30+J31,2),0,1),2),2))</f>
        <v>0</v>
      </c>
      <c r="J32" t="s">
        <v>26</v>
      </c>
      <c r="K32">
        <f t="shared" ref="K32" si="59">IF(L32 = ".",MOD(K30+K31+QUOTIENT(M30+M31+IF(M32 = MOD(M30+M31,2),0,1),2),2),MOD(K30+K31+QUOTIENT(L30+L31+IF(L32 = MOD(L30+L31,2),0,1),2),2))</f>
        <v>1</v>
      </c>
      <c r="L32">
        <f t="shared" ref="L32" si="60">IF(M32 = ".",MOD(L30+L31+QUOTIENT(N30+N31+IF(N32 = MOD(N30+N31,2),0,1),2),2),MOD(L30+L31+QUOTIENT(M30+M31+IF(M32 = MOD(M30+M31,2),0,1),2),2))</f>
        <v>0</v>
      </c>
      <c r="M32">
        <f t="shared" ref="M32" si="61">IF(N32 = ".",MOD(M30+M31+QUOTIENT(O30+O31+IF(O32 = MOD(O30+O31,2),0,1),2),2),MOD(M30+M31+QUOTIENT(N30+N31+IF(N32 = MOD(N30+N31,2),0,1),2),2))</f>
        <v>1</v>
      </c>
      <c r="N32">
        <f>IF(O32 = ".",MOD(N30+N31+QUOTIENT(P30+P31+IF(P32 = MOD(P30+P31,2),0,1),2),2),MOD(N30+N31+QUOTIENT(O30+O31+IF(O32 = MOD(O30+O31,2),0,1),2),2))</f>
        <v>1</v>
      </c>
      <c r="O32" t="s">
        <v>26</v>
      </c>
      <c r="P32">
        <f t="shared" ref="P32" si="62">IF(Q32 = ".",MOD(P30+P31+QUOTIENT(R30+R31+IF(R32 = MOD(R30+R31,2),0,1),2),2),MOD(P30+P31+QUOTIENT(Q30+Q31+IF(Q32 = MOD(Q30+Q31,2),0,1),2),2))</f>
        <v>1</v>
      </c>
      <c r="Q32">
        <f t="shared" ref="Q32" si="63">IF(R32 = ".",MOD(Q30+Q31+QUOTIENT(S30+S31+IF(S32 = MOD(S30+S31,2),0,1),2),2),MOD(Q30+Q31+QUOTIENT(R30+R31+IF(R32 = MOD(R30+R31,2),0,1),2),2))</f>
        <v>1</v>
      </c>
      <c r="R32">
        <f t="shared" ref="R32" si="64">IF(S32 = ".",MOD(R30+R31+QUOTIENT(T30+T31+IF(T32 = MOD(T30+T31,2),0,1),2),2),MOD(R30+R31+QUOTIENT(S30+S31+IF(S32 = MOD(S30+S31,2),0,1),2),2))</f>
        <v>1</v>
      </c>
      <c r="S32">
        <f t="shared" ref="S32" si="65">IF(T32 = ".",MOD(S30+S31+QUOTIENT(U30+U31+IF(U32 = MOD(U30+U31,2),0,1),2),2),MOD(S30+S31+QUOTIENT(T30+T31+IF(T32 = MOD(T30+T31,2),0,1),2),2))</f>
        <v>0</v>
      </c>
      <c r="T32" t="s">
        <v>26</v>
      </c>
      <c r="U32">
        <f t="shared" ref="U32" si="66">IF(V32 = ".",MOD(U30+U31+QUOTIENT(W30+W31+IF(W32 = MOD(W30+W31,2),0,1),2),2),MOD(U30+U31+QUOTIENT(V30+V31+IF(V32 = MOD(V30+V31,2),0,1),2),2))</f>
        <v>1</v>
      </c>
      <c r="V32">
        <f t="shared" ref="V32" si="67">IF(W32 = ".",MOD(V30+V31+QUOTIENT(X30+X31+IF(X32 = MOD(X30+X31,2),0,1),2),2),MOD(V30+V31+QUOTIENT(W30+W31+IF(W32 = MOD(W30+W31,2),0,1),2),2))</f>
        <v>1</v>
      </c>
      <c r="W32">
        <f t="shared" ref="W32" si="68">IF(X32 = ".",MOD(W30+W31+QUOTIENT(Y30+Y31+IF(Y32 = MOD(Y30+Y31,2),0,1),2),2),MOD(W30+W31+QUOTIENT(X30+X31+IF(X32 = MOD(X30+X31,2),0,1),2),2))</f>
        <v>0</v>
      </c>
      <c r="X32">
        <f t="shared" ref="X32" si="69">IF(Y32 = ".",MOD(X30+X31+QUOTIENT(Z30+Z31+IF(Z32 = MOD(Z30+Z31,2),0,1),2),2),MOD(X30+X31+QUOTIENT(Y30+Y31+IF(Y32 = MOD(Y30+Y31,2),0,1),2),2))</f>
        <v>0</v>
      </c>
      <c r="Z32">
        <f>SERIESSUM(2,15,-1,F32:I32) + SERIESSUM(2,11,-1,K32:N32) + SERIESSUM(2,7,-1,P32:S32) + SERIESSUM(2,3,-1,U32:X32) - 65536*IF(F32 = 1, 1, 0)</f>
        <v>-29716</v>
      </c>
      <c r="AA32" s="10"/>
    </row>
    <row r="34" spans="1:27" ht="14.5" customHeight="1" x14ac:dyDescent="0.35">
      <c r="A34" s="2" t="s">
        <v>41</v>
      </c>
      <c r="B34" s="3">
        <f>IF(OR(F34+F35 = 2, AND(F34+F35 = 1, F36 = 0)), 1, 0)</f>
        <v>1</v>
      </c>
      <c r="C34" s="3" t="s">
        <v>36</v>
      </c>
      <c r="D34" s="4">
        <f>IF(SUM(F36:I36,K36:N36,P36:S36,U36:X36) = 0,1,0)</f>
        <v>0</v>
      </c>
      <c r="E34" t="s">
        <v>21</v>
      </c>
      <c r="F34">
        <f>F11</f>
        <v>1</v>
      </c>
      <c r="G34">
        <f t="shared" ref="G34:X34" si="70">G11</f>
        <v>0</v>
      </c>
      <c r="H34">
        <f t="shared" si="70"/>
        <v>1</v>
      </c>
      <c r="I34">
        <f t="shared" si="70"/>
        <v>1</v>
      </c>
      <c r="J34" t="str">
        <f t="shared" si="70"/>
        <v>.</v>
      </c>
      <c r="K34">
        <f t="shared" si="70"/>
        <v>0</v>
      </c>
      <c r="L34">
        <f t="shared" si="70"/>
        <v>1</v>
      </c>
      <c r="M34">
        <f t="shared" si="70"/>
        <v>1</v>
      </c>
      <c r="N34">
        <f t="shared" si="70"/>
        <v>1</v>
      </c>
      <c r="O34" t="str">
        <f t="shared" si="70"/>
        <v>.</v>
      </c>
      <c r="P34">
        <f t="shared" si="70"/>
        <v>0</v>
      </c>
      <c r="Q34">
        <f t="shared" si="70"/>
        <v>1</v>
      </c>
      <c r="R34">
        <f t="shared" si="70"/>
        <v>0</v>
      </c>
      <c r="S34">
        <f t="shared" si="70"/>
        <v>0</v>
      </c>
      <c r="T34" t="str">
        <f t="shared" si="70"/>
        <v>.</v>
      </c>
      <c r="U34">
        <f t="shared" si="70"/>
        <v>1</v>
      </c>
      <c r="V34">
        <f t="shared" si="70"/>
        <v>0</v>
      </c>
      <c r="W34">
        <f t="shared" si="70"/>
        <v>0</v>
      </c>
      <c r="X34">
        <f t="shared" si="70"/>
        <v>1</v>
      </c>
      <c r="AA34" s="10" t="str">
        <f>IF(D36=1,"Результатт некорректен, переполнение.",CONCATENATE("Результат корректен.",IF(B34=1,"Перенос.", ""),IF(D35=1,"Результат отрицательный.","Результат положительный")))</f>
        <v>Результатт некорректен, переполнение.</v>
      </c>
    </row>
    <row r="35" spans="1:27" x14ac:dyDescent="0.35">
      <c r="A35" s="5" t="s">
        <v>39</v>
      </c>
      <c r="B35">
        <f>IF(MOD(SUM(U36:X36,P36:S36),2) = 0,1,0)</f>
        <v>1</v>
      </c>
      <c r="C35" t="s">
        <v>37</v>
      </c>
      <c r="D35" s="6">
        <f>F36</f>
        <v>0</v>
      </c>
      <c r="E35" t="s">
        <v>22</v>
      </c>
      <c r="F35">
        <f>F12</f>
        <v>1</v>
      </c>
      <c r="G35">
        <f t="shared" ref="G35:X35" si="71">G12</f>
        <v>0</v>
      </c>
      <c r="H35">
        <f t="shared" si="71"/>
        <v>0</v>
      </c>
      <c r="I35">
        <f t="shared" si="71"/>
        <v>0</v>
      </c>
      <c r="J35" t="str">
        <f t="shared" si="71"/>
        <v>.</v>
      </c>
      <c r="K35">
        <f t="shared" si="71"/>
        <v>1</v>
      </c>
      <c r="L35">
        <f t="shared" si="71"/>
        <v>0</v>
      </c>
      <c r="M35">
        <f t="shared" si="71"/>
        <v>1</v>
      </c>
      <c r="N35">
        <f t="shared" si="71"/>
        <v>1</v>
      </c>
      <c r="O35" t="str">
        <f t="shared" si="71"/>
        <v>.</v>
      </c>
      <c r="P35">
        <f t="shared" si="71"/>
        <v>1</v>
      </c>
      <c r="Q35">
        <f t="shared" si="71"/>
        <v>1</v>
      </c>
      <c r="R35">
        <f t="shared" si="71"/>
        <v>1</v>
      </c>
      <c r="S35">
        <f t="shared" si="71"/>
        <v>0</v>
      </c>
      <c r="T35" t="str">
        <f t="shared" si="71"/>
        <v>.</v>
      </c>
      <c r="U35">
        <f t="shared" si="71"/>
        <v>1</v>
      </c>
      <c r="V35">
        <f t="shared" si="71"/>
        <v>1</v>
      </c>
      <c r="W35">
        <f t="shared" si="71"/>
        <v>0</v>
      </c>
      <c r="X35">
        <f t="shared" si="71"/>
        <v>0</v>
      </c>
      <c r="AA35" s="10"/>
    </row>
    <row r="36" spans="1:27" x14ac:dyDescent="0.35">
      <c r="A36" s="7" t="s">
        <v>40</v>
      </c>
      <c r="B36" s="8">
        <f>IF(OR(U34+U35 = 2, AND(U34+U35 = 1, U36 = 0)), 1, 0)</f>
        <v>1</v>
      </c>
      <c r="C36" s="8" t="s">
        <v>38</v>
      </c>
      <c r="D36" s="9">
        <f>IF(OR(AND(F34 = 0,F35 = 0,F36 = 1),AND(F34 = 1, F35 = 1,F36 = 0)),1,0)</f>
        <v>1</v>
      </c>
      <c r="E36" t="s">
        <v>32</v>
      </c>
      <c r="F36">
        <f t="shared" ref="F36" si="72">IF(G36 = ".",MOD(F34+F35+QUOTIENT(H34+H35+IF(H36 = MOD(H34+H35,2),0,1),2),2),MOD(F34+F35+QUOTIENT(G34+G35+IF(G36 = MOD(G34+G35,2),0,1),2),2))</f>
        <v>0</v>
      </c>
      <c r="G36">
        <f t="shared" ref="G36" si="73">IF(H36 = ".",MOD(G34+G35+QUOTIENT(I34+I35+IF(I36 = MOD(I34+I35,2),0,1),2),2),MOD(G34+G35+QUOTIENT(H34+H35+IF(H36 = MOD(H34+H35,2),0,1),2),2))</f>
        <v>1</v>
      </c>
      <c r="H36">
        <f t="shared" ref="H36" si="74">IF(I36 = ".",MOD(H34+H35+QUOTIENT(J34+J35+IF(J36 = MOD(J34+J35,2),0,1),2),2),MOD(H34+H35+QUOTIENT(I34+I35+IF(I36 = MOD(I34+I35,2),0,1),2),2))</f>
        <v>0</v>
      </c>
      <c r="I36">
        <f t="shared" ref="I36" si="75">IF(J36 = ".",MOD(I34+I35+QUOTIENT(K34+K35+IF(K36 = MOD(K34+K35,2),0,1),2),2),MOD(I34+I35+QUOTIENT(J34+J35+IF(J36 = MOD(J34+J35,2),0,1),2),2))</f>
        <v>0</v>
      </c>
      <c r="J36" t="s">
        <v>26</v>
      </c>
      <c r="K36">
        <f t="shared" ref="K36" si="76">IF(L36 = ".",MOD(K34+K35+QUOTIENT(M34+M35+IF(M36 = MOD(M34+M35,2),0,1),2),2),MOD(K34+K35+QUOTIENT(L34+L35+IF(L36 = MOD(L34+L35,2),0,1),2),2))</f>
        <v>0</v>
      </c>
      <c r="L36">
        <f t="shared" ref="L36" si="77">IF(M36 = ".",MOD(L34+L35+QUOTIENT(N34+N35+IF(N36 = MOD(N34+N35,2),0,1),2),2),MOD(L34+L35+QUOTIENT(M34+M35+IF(M36 = MOD(M34+M35,2),0,1),2),2))</f>
        <v>0</v>
      </c>
      <c r="M36">
        <f t="shared" ref="M36" si="78">IF(N36 = ".",MOD(M34+M35+QUOTIENT(O34+O35+IF(O36 = MOD(O34+O35,2),0,1),2),2),MOD(M34+M35+QUOTIENT(N34+N35+IF(N36 = MOD(N34+N35,2),0,1),2),2))</f>
        <v>1</v>
      </c>
      <c r="N36">
        <f>IF(O36 = ".",MOD(N34+N35+QUOTIENT(P34+P35+IF(P36 = MOD(P34+P35,2),0,1),2),2),MOD(N34+N35+QUOTIENT(O34+O35+IF(O36 = MOD(O34+O35,2),0,1),2),2))</f>
        <v>1</v>
      </c>
      <c r="O36" t="s">
        <v>26</v>
      </c>
      <c r="P36">
        <f t="shared" ref="P36" si="79">IF(Q36 = ".",MOD(P34+P35+QUOTIENT(R34+R35+IF(R36 = MOD(R34+R35,2),0,1),2),2),MOD(P34+P35+QUOTIENT(Q34+Q35+IF(Q36 = MOD(Q34+Q35,2),0,1),2),2))</f>
        <v>0</v>
      </c>
      <c r="Q36">
        <f t="shared" ref="Q36" si="80">IF(R36 = ".",MOD(Q34+Q35+QUOTIENT(S34+S35+IF(S36 = MOD(S34+S35,2),0,1),2),2),MOD(Q34+Q35+QUOTIENT(R34+R35+IF(R36 = MOD(R34+R35,2),0,1),2),2))</f>
        <v>0</v>
      </c>
      <c r="R36">
        <f t="shared" ref="R36" si="81">IF(S36 = ".",MOD(R34+R35+QUOTIENT(T34+T35+IF(T36 = MOD(T34+T35,2),0,1),2),2),MOD(R34+R35+QUOTIENT(S34+S35+IF(S36 = MOD(S34+S35,2),0,1),2),2))</f>
        <v>1</v>
      </c>
      <c r="S36">
        <f t="shared" ref="S36" si="82">IF(T36 = ".",MOD(S34+S35+QUOTIENT(U34+U35+IF(U36 = MOD(U34+U35,2),0,1),2),2),MOD(S34+S35+QUOTIENT(T34+T35+IF(T36 = MOD(T34+T35,2),0,1),2),2))</f>
        <v>1</v>
      </c>
      <c r="T36" t="s">
        <v>26</v>
      </c>
      <c r="U36">
        <f t="shared" ref="U36" si="83">IF(V36 = ".",MOD(U34+U35+QUOTIENT(W34+W35+IF(W36 = MOD(W34+W35,2),0,1),2),2),MOD(U34+U35+QUOTIENT(V34+V35+IF(V36 = MOD(V34+V35,2),0,1),2),2))</f>
        <v>0</v>
      </c>
      <c r="V36">
        <f t="shared" ref="V36" si="84">IF(W36 = ".",MOD(V34+V35+QUOTIENT(X34+X35+IF(X36 = MOD(X34+X35,2),0,1),2),2),MOD(V34+V35+QUOTIENT(W34+W35+IF(W36 = MOD(W34+W35,2),0,1),2),2))</f>
        <v>1</v>
      </c>
      <c r="W36">
        <f t="shared" ref="W36" si="85">IF(X36 = ".",MOD(W34+W35+QUOTIENT(Y34+Y35+IF(Y36 = MOD(Y34+Y35,2),0,1),2),2),MOD(W34+W35+QUOTIENT(X34+X35+IF(X36 = MOD(X34+X35,2),0,1),2),2))</f>
        <v>0</v>
      </c>
      <c r="X36">
        <f t="shared" ref="X36" si="86">IF(Y36 = ".",MOD(X34+X35+QUOTIENT(Z34+Z35+IF(Z36 = MOD(Z34+Z35,2),0,1),2),2),MOD(X34+X35+QUOTIENT(Y34+Y35+IF(Y36 = MOD(Y34+Y35,2),0,1),2),2))</f>
        <v>1</v>
      </c>
      <c r="Z36">
        <f>SERIESSUM(2,15,-1,F36:I36) + SERIESSUM(2,11,-1,K36:N36) + SERIESSUM(2,7,-1,P36:S36) + SERIESSUM(2,3,-1,U36:X36)</f>
        <v>17205</v>
      </c>
      <c r="AA36" s="10"/>
    </row>
    <row r="38" spans="1:27" x14ac:dyDescent="0.35">
      <c r="A38" s="2" t="s">
        <v>41</v>
      </c>
      <c r="B38" s="3">
        <f>IF(OR(F38+F39 = 2, AND(F38+F39 = 1, F40 = 0)), 1, 0)</f>
        <v>0</v>
      </c>
      <c r="C38" s="3" t="s">
        <v>36</v>
      </c>
      <c r="D38" s="4">
        <f>IF(SUM(F40:I40,K40:N40,P40:S40,U40:X40) = 0,1,0)</f>
        <v>0</v>
      </c>
      <c r="E38" t="s">
        <v>14</v>
      </c>
      <c r="F38">
        <f>F4</f>
        <v>0</v>
      </c>
      <c r="G38">
        <f t="shared" ref="G38:X38" si="87">G4</f>
        <v>0</v>
      </c>
      <c r="H38">
        <f t="shared" si="87"/>
        <v>1</v>
      </c>
      <c r="I38">
        <f t="shared" si="87"/>
        <v>0</v>
      </c>
      <c r="J38" t="str">
        <f t="shared" si="87"/>
        <v>.</v>
      </c>
      <c r="K38">
        <f t="shared" si="87"/>
        <v>1</v>
      </c>
      <c r="L38">
        <f t="shared" si="87"/>
        <v>0</v>
      </c>
      <c r="M38">
        <f t="shared" si="87"/>
        <v>1</v>
      </c>
      <c r="N38">
        <f t="shared" si="87"/>
        <v>1</v>
      </c>
      <c r="O38" t="str">
        <f t="shared" si="87"/>
        <v>.</v>
      </c>
      <c r="P38">
        <f t="shared" si="87"/>
        <v>0</v>
      </c>
      <c r="Q38">
        <f t="shared" si="87"/>
        <v>1</v>
      </c>
      <c r="R38">
        <f t="shared" si="87"/>
        <v>0</v>
      </c>
      <c r="S38">
        <f t="shared" si="87"/>
        <v>1</v>
      </c>
      <c r="T38" t="str">
        <f t="shared" si="87"/>
        <v>.</v>
      </c>
      <c r="U38">
        <f t="shared" si="87"/>
        <v>1</v>
      </c>
      <c r="V38">
        <f t="shared" si="87"/>
        <v>1</v>
      </c>
      <c r="W38">
        <f t="shared" si="87"/>
        <v>0</v>
      </c>
      <c r="X38">
        <f t="shared" si="87"/>
        <v>1</v>
      </c>
      <c r="AA38" s="10" t="str">
        <f>IF(D40=1,"Результатт некорректен, переполнение.",CONCATENATE("Результат корректен.",IF(B38=1,"Перенос.", ""),IF(D39=1,"Результат отрицательный.","Результат положительный")))</f>
        <v>Результат корректен.Результат отрицательный.</v>
      </c>
    </row>
    <row r="39" spans="1:27" x14ac:dyDescent="0.35">
      <c r="A39" s="5" t="s">
        <v>39</v>
      </c>
      <c r="B39">
        <f>IF(MOD(SUM(U40:X40,P40:S40),2) = 0,1,0)</f>
        <v>1</v>
      </c>
      <c r="C39" t="s">
        <v>37</v>
      </c>
      <c r="D39" s="6">
        <f>F40</f>
        <v>1</v>
      </c>
      <c r="E39" t="s">
        <v>21</v>
      </c>
      <c r="F39">
        <f>F11</f>
        <v>1</v>
      </c>
      <c r="G39">
        <f t="shared" ref="G39:X39" si="88">G11</f>
        <v>0</v>
      </c>
      <c r="H39">
        <f t="shared" si="88"/>
        <v>1</v>
      </c>
      <c r="I39">
        <f t="shared" si="88"/>
        <v>1</v>
      </c>
      <c r="J39" t="str">
        <f t="shared" si="88"/>
        <v>.</v>
      </c>
      <c r="K39">
        <f t="shared" si="88"/>
        <v>0</v>
      </c>
      <c r="L39">
        <f t="shared" si="88"/>
        <v>1</v>
      </c>
      <c r="M39">
        <f t="shared" si="88"/>
        <v>1</v>
      </c>
      <c r="N39">
        <f t="shared" si="88"/>
        <v>1</v>
      </c>
      <c r="O39" t="str">
        <f t="shared" si="88"/>
        <v>.</v>
      </c>
      <c r="P39">
        <f t="shared" si="88"/>
        <v>0</v>
      </c>
      <c r="Q39">
        <f t="shared" si="88"/>
        <v>1</v>
      </c>
      <c r="R39">
        <f t="shared" si="88"/>
        <v>0</v>
      </c>
      <c r="S39">
        <f t="shared" si="88"/>
        <v>0</v>
      </c>
      <c r="T39" t="str">
        <f t="shared" si="88"/>
        <v>.</v>
      </c>
      <c r="U39">
        <f t="shared" si="88"/>
        <v>1</v>
      </c>
      <c r="V39">
        <f t="shared" si="88"/>
        <v>0</v>
      </c>
      <c r="W39">
        <f t="shared" si="88"/>
        <v>0</v>
      </c>
      <c r="X39">
        <f t="shared" si="88"/>
        <v>1</v>
      </c>
      <c r="AA39" s="10"/>
    </row>
    <row r="40" spans="1:27" x14ac:dyDescent="0.35">
      <c r="A40" s="7" t="s">
        <v>40</v>
      </c>
      <c r="B40" s="8">
        <f>IF(OR(U38+U39 = 2, AND(U38+U39 = 1, U40 = 0)), 1, 0)</f>
        <v>1</v>
      </c>
      <c r="C40" s="8" t="s">
        <v>38</v>
      </c>
      <c r="D40" s="9">
        <f>IF(OR(AND(F38 = 0,F39 = 0,F40 = 1),AND(F38 = 1, F39 = 1,F40 = 0)),1,0)</f>
        <v>0</v>
      </c>
      <c r="E40" t="s">
        <v>31</v>
      </c>
      <c r="F40">
        <f t="shared" ref="F40" si="89">IF(G40 = ".",MOD(F38+F39+QUOTIENT(H38+H39+IF(H40 = MOD(H38+H39,2),0,1),2),2),MOD(F38+F39+QUOTIENT(G38+G39+IF(G40 = MOD(G38+G39,2),0,1),2),2))</f>
        <v>1</v>
      </c>
      <c r="G40">
        <f t="shared" ref="G40" si="90">IF(H40 = ".",MOD(G38+G39+QUOTIENT(I38+I39+IF(I40 = MOD(I38+I39,2),0,1),2),2),MOD(G38+G39+QUOTIENT(H38+H39+IF(H40 = MOD(H38+H39,2),0,1),2),2))</f>
        <v>1</v>
      </c>
      <c r="H40">
        <f t="shared" ref="H40" si="91">IF(I40 = ".",MOD(H38+H39+QUOTIENT(J38+J39+IF(J40 = MOD(J38+J39,2),0,1),2),2),MOD(H38+H39+QUOTIENT(I38+I39+IF(I40 = MOD(I38+I39,2),0,1),2),2))</f>
        <v>1</v>
      </c>
      <c r="I40">
        <f t="shared" ref="I40" si="92">IF(J40 = ".",MOD(I38+I39+QUOTIENT(K38+K39+IF(K40 = MOD(K38+K39,2),0,1),2),2),MOD(I38+I39+QUOTIENT(J38+J39+IF(J40 = MOD(J38+J39,2),0,1),2),2))</f>
        <v>0</v>
      </c>
      <c r="J40" t="s">
        <v>26</v>
      </c>
      <c r="K40">
        <f t="shared" ref="K40" si="93">IF(L40 = ".",MOD(K38+K39+QUOTIENT(M38+M39+IF(M40 = MOD(M38+M39,2),0,1),2),2),MOD(K38+K39+QUOTIENT(L38+L39+IF(L40 = MOD(L38+L39,2),0,1),2),2))</f>
        <v>0</v>
      </c>
      <c r="L40">
        <f t="shared" ref="L40" si="94">IF(M40 = ".",MOD(L38+L39+QUOTIENT(N38+N39+IF(N40 = MOD(N38+N39,2),0,1),2),2),MOD(L38+L39+QUOTIENT(M38+M39+IF(M40 = MOD(M38+M39,2),0,1),2),2))</f>
        <v>0</v>
      </c>
      <c r="M40">
        <f t="shared" ref="M40" si="95">IF(N40 = ".",MOD(M38+M39+QUOTIENT(O38+O39+IF(O40 = MOD(O38+O39,2),0,1),2),2),MOD(M38+M39+QUOTIENT(N38+N39+IF(N40 = MOD(N38+N39,2),0,1),2),2))</f>
        <v>1</v>
      </c>
      <c r="N40">
        <f>IF(O40 = ".",MOD(N38+N39+QUOTIENT(P38+P39+IF(P40 = MOD(P38+P39,2),0,1),2),2),MOD(N38+N39+QUOTIENT(O38+O39+IF(O40 = MOD(O38+O39,2),0,1),2),2))</f>
        <v>0</v>
      </c>
      <c r="O40" t="s">
        <v>26</v>
      </c>
      <c r="P40">
        <f t="shared" ref="P40" si="96">IF(Q40 = ".",MOD(P38+P39+QUOTIENT(R38+R39+IF(R40 = MOD(R38+R39,2),0,1),2),2),MOD(P38+P39+QUOTIENT(Q38+Q39+IF(Q40 = MOD(Q38+Q39,2),0,1),2),2))</f>
        <v>1</v>
      </c>
      <c r="Q40">
        <f t="shared" ref="Q40" si="97">IF(R40 = ".",MOD(Q38+Q39+QUOTIENT(S38+S39+IF(S40 = MOD(S38+S39,2),0,1),2),2),MOD(Q38+Q39+QUOTIENT(R38+R39+IF(R40 = MOD(R38+R39,2),0,1),2),2))</f>
        <v>0</v>
      </c>
      <c r="R40">
        <f t="shared" ref="R40" si="98">IF(S40 = ".",MOD(R38+R39+QUOTIENT(T38+T39+IF(T40 = MOD(T38+T39,2),0,1),2),2),MOD(R38+R39+QUOTIENT(S38+S39+IF(S40 = MOD(S38+S39,2),0,1),2),2))</f>
        <v>1</v>
      </c>
      <c r="S40">
        <f t="shared" ref="S40" si="99">IF(T40 = ".",MOD(S38+S39+QUOTIENT(U38+U39+IF(U40 = MOD(U38+U39,2),0,1),2),2),MOD(S38+S39+QUOTIENT(T38+T39+IF(T40 = MOD(T38+T39,2),0,1),2),2))</f>
        <v>0</v>
      </c>
      <c r="T40" t="s">
        <v>26</v>
      </c>
      <c r="U40">
        <f t="shared" ref="U40" si="100">IF(V40 = ".",MOD(U38+U39+QUOTIENT(W38+W39+IF(W40 = MOD(W38+W39,2),0,1),2),2),MOD(U38+U39+QUOTIENT(V38+V39+IF(V40 = MOD(V38+V39,2),0,1),2),2))</f>
        <v>0</v>
      </c>
      <c r="V40">
        <f t="shared" ref="V40" si="101">IF(W40 = ".",MOD(V38+V39+QUOTIENT(X38+X39+IF(X40 = MOD(X38+X39,2),0,1),2),2),MOD(V38+V39+QUOTIENT(W38+W39+IF(W40 = MOD(W38+W39,2),0,1),2),2))</f>
        <v>1</v>
      </c>
      <c r="W40">
        <f t="shared" ref="W40" si="102">IF(X40 = ".",MOD(W38+W39+QUOTIENT(Y38+Y39+IF(Y40 = MOD(Y38+Y39,2),0,1),2),2),MOD(W38+W39+QUOTIENT(X38+X39+IF(X40 = MOD(X38+X39,2),0,1),2),2))</f>
        <v>1</v>
      </c>
      <c r="X40">
        <f t="shared" ref="X40" si="103">IF(Y40 = ".",MOD(X38+X39+QUOTIENT(Z38+Z39+IF(Z40 = MOD(Z38+Z39,2),0,1),2),2),MOD(X38+X39+QUOTIENT(Y38+Y39+IF(Y40 = MOD(Y38+Y39,2),0,1),2),2))</f>
        <v>0</v>
      </c>
      <c r="Z40">
        <f>SERIESSUM(2,15,-1,F40:I40) + SERIESSUM(2,11,-1,K40:N40) + SERIESSUM(2,7,-1,P40:S40) + SERIESSUM(2,3,-1,U40:X40) - 65536*IF(F40 = 1, 1, 0)</f>
        <v>-7514</v>
      </c>
      <c r="AA40" s="10"/>
    </row>
    <row r="42" spans="1:27" ht="14.5" customHeight="1" x14ac:dyDescent="0.35">
      <c r="A42" s="2" t="s">
        <v>41</v>
      </c>
      <c r="B42" s="3">
        <f>IF(OR(F42+F43 = 2, AND(F42+F43 = 1, F44 = 0)), 1, 0)</f>
        <v>1</v>
      </c>
      <c r="C42" s="3" t="s">
        <v>36</v>
      </c>
      <c r="D42" s="4">
        <f>IF(SUM(F44:I44,K44:N44,P44:S44,U44:X44) = 0,1,0)</f>
        <v>0</v>
      </c>
      <c r="E42" t="s">
        <v>16</v>
      </c>
      <c r="F42">
        <f>F6</f>
        <v>0</v>
      </c>
      <c r="G42">
        <f t="shared" ref="G42:X42" si="104">G6</f>
        <v>1</v>
      </c>
      <c r="H42">
        <f t="shared" si="104"/>
        <v>1</v>
      </c>
      <c r="I42">
        <f t="shared" si="104"/>
        <v>1</v>
      </c>
      <c r="J42" t="str">
        <f t="shared" si="104"/>
        <v>.</v>
      </c>
      <c r="K42">
        <f t="shared" si="104"/>
        <v>0</v>
      </c>
      <c r="L42">
        <f t="shared" si="104"/>
        <v>1</v>
      </c>
      <c r="M42">
        <f t="shared" si="104"/>
        <v>0</v>
      </c>
      <c r="N42">
        <f t="shared" si="104"/>
        <v>0</v>
      </c>
      <c r="O42" t="str">
        <f t="shared" si="104"/>
        <v>.</v>
      </c>
      <c r="P42">
        <f t="shared" si="104"/>
        <v>0</v>
      </c>
      <c r="Q42">
        <f t="shared" si="104"/>
        <v>0</v>
      </c>
      <c r="R42">
        <f t="shared" si="104"/>
        <v>0</v>
      </c>
      <c r="S42">
        <f t="shared" si="104"/>
        <v>1</v>
      </c>
      <c r="T42" t="str">
        <f t="shared" si="104"/>
        <v>.</v>
      </c>
      <c r="U42">
        <f t="shared" si="104"/>
        <v>0</v>
      </c>
      <c r="V42">
        <f t="shared" si="104"/>
        <v>1</v>
      </c>
      <c r="W42">
        <f t="shared" si="104"/>
        <v>0</v>
      </c>
      <c r="X42">
        <f t="shared" si="104"/>
        <v>0</v>
      </c>
      <c r="AA42" s="10" t="str">
        <f>IF(D44=1,"Результатт некорректен, переполнение.",CONCATENATE("Результат корректен.",IF(B42=1,"Перенос.", ""),IF(D43=1,"Результат отрицательный.","Результат положительный")))</f>
        <v>Результат корректен.Перенос.Результат положительный</v>
      </c>
    </row>
    <row r="43" spans="1:27" x14ac:dyDescent="0.35">
      <c r="A43" s="5" t="s">
        <v>39</v>
      </c>
      <c r="B43">
        <f>IF(MOD(SUM(U44:X44,P44:S44),2) = 0,1,0)</f>
        <v>0</v>
      </c>
      <c r="C43" t="s">
        <v>37</v>
      </c>
      <c r="D43" s="6">
        <f>F44</f>
        <v>0</v>
      </c>
      <c r="E43" t="s">
        <v>24</v>
      </c>
      <c r="F43">
        <f>F14</f>
        <v>1</v>
      </c>
      <c r="G43">
        <f t="shared" ref="G43:X43" si="105">G14</f>
        <v>1</v>
      </c>
      <c r="H43">
        <f t="shared" si="105"/>
        <v>1</v>
      </c>
      <c r="I43">
        <f t="shared" si="105"/>
        <v>0</v>
      </c>
      <c r="J43" t="str">
        <f t="shared" si="105"/>
        <v>.</v>
      </c>
      <c r="K43">
        <f t="shared" si="105"/>
        <v>0</v>
      </c>
      <c r="L43">
        <f t="shared" si="105"/>
        <v>0</v>
      </c>
      <c r="M43">
        <f t="shared" si="105"/>
        <v>1</v>
      </c>
      <c r="N43">
        <f t="shared" si="105"/>
        <v>0</v>
      </c>
      <c r="O43" t="str">
        <f t="shared" si="105"/>
        <v>.</v>
      </c>
      <c r="P43">
        <f t="shared" si="105"/>
        <v>1</v>
      </c>
      <c r="Q43">
        <f t="shared" si="105"/>
        <v>0</v>
      </c>
      <c r="R43">
        <f t="shared" si="105"/>
        <v>1</v>
      </c>
      <c r="S43">
        <f t="shared" si="105"/>
        <v>0</v>
      </c>
      <c r="T43" t="str">
        <f t="shared" si="105"/>
        <v>.</v>
      </c>
      <c r="U43">
        <f t="shared" si="105"/>
        <v>0</v>
      </c>
      <c r="V43">
        <f t="shared" si="105"/>
        <v>1</v>
      </c>
      <c r="W43">
        <f t="shared" si="105"/>
        <v>1</v>
      </c>
      <c r="X43">
        <f t="shared" si="105"/>
        <v>0</v>
      </c>
      <c r="AA43" s="10"/>
    </row>
    <row r="44" spans="1:27" x14ac:dyDescent="0.35">
      <c r="A44" s="7" t="s">
        <v>40</v>
      </c>
      <c r="B44" s="8">
        <f>IF(OR(U42+U43 = 2, AND(U42+U43 = 1, U44 = 0)), 1, 0)</f>
        <v>0</v>
      </c>
      <c r="C44" s="8" t="s">
        <v>38</v>
      </c>
      <c r="D44" s="9">
        <f>IF(OR(AND(F42 = 0,F43 = 0,F44 = 1),AND(F42 = 1, F43 = 1,F44 = 0)),1,0)</f>
        <v>0</v>
      </c>
      <c r="E44" t="s">
        <v>33</v>
      </c>
      <c r="F44">
        <f t="shared" ref="F44" si="106">IF(G44 = ".",MOD(F42+F43+QUOTIENT(H42+H43+IF(H44 = MOD(H42+H43,2),0,1),2),2),MOD(F42+F43+QUOTIENT(G42+G43+IF(G44 = MOD(G42+G43,2),0,1),2),2))</f>
        <v>0</v>
      </c>
      <c r="G44">
        <f t="shared" ref="G44" si="107">IF(H44 = ".",MOD(G42+G43+QUOTIENT(I42+I43+IF(I44 = MOD(I42+I43,2),0,1),2),2),MOD(G42+G43+QUOTIENT(H42+H43+IF(H44 = MOD(H42+H43,2),0,1),2),2))</f>
        <v>1</v>
      </c>
      <c r="H44">
        <f t="shared" ref="H44" si="108">IF(I44 = ".",MOD(H42+H43+QUOTIENT(J42+J43+IF(J44 = MOD(J42+J43,2),0,1),2),2),MOD(H42+H43+QUOTIENT(I42+I43+IF(I44 = MOD(I42+I43,2),0,1),2),2))</f>
        <v>0</v>
      </c>
      <c r="I44">
        <f t="shared" ref="I44" si="109">IF(J44 = ".",MOD(I42+I43+QUOTIENT(K42+K43+IF(K44 = MOD(K42+K43,2),0,1),2),2),MOD(I42+I43+QUOTIENT(J42+J43+IF(J44 = MOD(J42+J43,2),0,1),2),2))</f>
        <v>1</v>
      </c>
      <c r="J44" t="s">
        <v>26</v>
      </c>
      <c r="K44">
        <f t="shared" ref="K44" si="110">IF(L44 = ".",MOD(K42+K43+QUOTIENT(M42+M43+IF(M44 = MOD(M42+M43,2),0,1),2),2),MOD(K42+K43+QUOTIENT(L42+L43+IF(L44 = MOD(L42+L43,2),0,1),2),2))</f>
        <v>0</v>
      </c>
      <c r="L44">
        <f t="shared" ref="L44" si="111">IF(M44 = ".",MOD(L42+L43+QUOTIENT(N42+N43+IF(N44 = MOD(N42+N43,2),0,1),2),2),MOD(L42+L43+QUOTIENT(M42+M43+IF(M44 = MOD(M42+M43,2),0,1),2),2))</f>
        <v>1</v>
      </c>
      <c r="M44">
        <f t="shared" ref="M44" si="112">IF(N44 = ".",MOD(M42+M43+QUOTIENT(O42+O43+IF(O44 = MOD(O42+O43,2),0,1),2),2),MOD(M42+M43+QUOTIENT(N42+N43+IF(N44 = MOD(N42+N43,2),0,1),2),2))</f>
        <v>1</v>
      </c>
      <c r="N44">
        <f>IF(O44 = ".",MOD(N42+N43+QUOTIENT(P42+P43+IF(P44 = MOD(P42+P43,2),0,1),2),2),MOD(N42+N43+QUOTIENT(O42+O43+IF(O44 = MOD(O42+O43,2),0,1),2),2))</f>
        <v>0</v>
      </c>
      <c r="O44" t="s">
        <v>26</v>
      </c>
      <c r="P44">
        <f t="shared" ref="P44" si="113">IF(Q44 = ".",MOD(P42+P43+QUOTIENT(R42+R43+IF(R44 = MOD(R42+R43,2),0,1),2),2),MOD(P42+P43+QUOTIENT(Q42+Q43+IF(Q44 = MOD(Q42+Q43,2),0,1),2),2))</f>
        <v>1</v>
      </c>
      <c r="Q44">
        <f t="shared" ref="Q44" si="114">IF(R44 = ".",MOD(Q42+Q43+QUOTIENT(S42+S43+IF(S44 = MOD(S42+S43,2),0,1),2),2),MOD(Q42+Q43+QUOTIENT(R42+R43+IF(R44 = MOD(R42+R43,2),0,1),2),2))</f>
        <v>0</v>
      </c>
      <c r="R44">
        <f t="shared" ref="R44" si="115">IF(S44 = ".",MOD(R42+R43+QUOTIENT(T42+T43+IF(T44 = MOD(T42+T43,2),0,1),2),2),MOD(R42+R43+QUOTIENT(S42+S43+IF(S44 = MOD(S42+S43,2),0,1),2),2))</f>
        <v>1</v>
      </c>
      <c r="S44">
        <f t="shared" ref="S44" si="116">IF(T44 = ".",MOD(S42+S43+QUOTIENT(U42+U43+IF(U44 = MOD(U42+U43,2),0,1),2),2),MOD(S42+S43+QUOTIENT(T42+T43+IF(T44 = MOD(T42+T43,2),0,1),2),2))</f>
        <v>1</v>
      </c>
      <c r="T44" t="s">
        <v>26</v>
      </c>
      <c r="U44">
        <f t="shared" ref="U44" si="117">IF(V44 = ".",MOD(U42+U43+QUOTIENT(W42+W43+IF(W44 = MOD(W42+W43,2),0,1),2),2),MOD(U42+U43+QUOTIENT(V42+V43+IF(V44 = MOD(V42+V43,2),0,1),2),2))</f>
        <v>1</v>
      </c>
      <c r="V44">
        <f t="shared" ref="V44" si="118">IF(W44 = ".",MOD(V42+V43+QUOTIENT(X42+X43+IF(X44 = MOD(X42+X43,2),0,1),2),2),MOD(V42+V43+QUOTIENT(W42+W43+IF(W44 = MOD(W42+W43,2),0,1),2),2))</f>
        <v>0</v>
      </c>
      <c r="W44">
        <f t="shared" ref="W44" si="119">IF(X44 = ".",MOD(W42+W43+QUOTIENT(Y42+Y43+IF(Y44 = MOD(Y42+Y43,2),0,1),2),2),MOD(W42+W43+QUOTIENT(X42+X43+IF(X44 = MOD(X42+X43,2),0,1),2),2))</f>
        <v>1</v>
      </c>
      <c r="X44">
        <f t="shared" ref="X44" si="120">IF(Y44 = ".",MOD(X42+X43+QUOTIENT(Z42+Z43+IF(Z44 = MOD(Z42+Z43,2),0,1),2),2),MOD(X42+X43+QUOTIENT(Y42+Y43+IF(Y44 = MOD(Y42+Y43,2),0,1),2),2))</f>
        <v>0</v>
      </c>
      <c r="Z44">
        <f>SERIESSUM(2,15,-1,F44:I44) + SERIESSUM(2,11,-1,K44:N44) + SERIESSUM(2,7,-1,P44:S44) + SERIESSUM(2,3,-1,U44:X44) - 65536*IF(F44 = 1, 1, 0)</f>
        <v>22202</v>
      </c>
      <c r="AA44" s="10"/>
    </row>
  </sheetData>
  <mergeCells count="7">
    <mergeCell ref="AA38:AA40"/>
    <mergeCell ref="AA42:AA44"/>
    <mergeCell ref="AA22:AA24"/>
    <mergeCell ref="AA18:AA20"/>
    <mergeCell ref="AA26:AA28"/>
    <mergeCell ref="AA30:AA32"/>
    <mergeCell ref="AA34:AA36"/>
  </mergeCells>
  <phoneticPr fontId="1" type="noConversion"/>
  <conditionalFormatting sqref="F1:J2">
    <cfRule type="cellIs" dxfId="23" priority="346" operator="greaterThan">
      <formula>0.5</formula>
    </cfRule>
    <cfRule type="cellIs" dxfId="22" priority="345" operator="lessThan">
      <formula>0.5</formula>
    </cfRule>
  </conditionalFormatting>
  <conditionalFormatting sqref="K1:O2">
    <cfRule type="cellIs" dxfId="21" priority="344" operator="greaterThan">
      <formula>0.5</formula>
    </cfRule>
    <cfRule type="cellIs" dxfId="20" priority="343" operator="lessThan">
      <formula>0.5</formula>
    </cfRule>
  </conditionalFormatting>
  <conditionalFormatting sqref="P1:T2">
    <cfRule type="cellIs" dxfId="19" priority="342" operator="greaterThan">
      <formula>0.5</formula>
    </cfRule>
    <cfRule type="cellIs" dxfId="18" priority="341" operator="lessThan">
      <formula>0.5</formula>
    </cfRule>
  </conditionalFormatting>
  <conditionalFormatting sqref="U1:Y2">
    <cfRule type="cellIs" dxfId="17" priority="340" operator="greaterThan">
      <formula>0.5</formula>
    </cfRule>
    <cfRule type="cellIs" dxfId="16" priority="339" operator="lessThan">
      <formula>0.5</formula>
    </cfRule>
  </conditionalFormatting>
  <conditionalFormatting sqref="Z1:AD2 Z3 AB3:AD3">
    <cfRule type="cellIs" dxfId="15" priority="338" operator="greaterThan">
      <formula>0.5</formula>
    </cfRule>
    <cfRule type="cellIs" dxfId="14" priority="337" operator="lessThan">
      <formula>0.5</formula>
    </cfRule>
  </conditionalFormatting>
  <conditionalFormatting sqref="F2:J2">
    <cfRule type="cellIs" dxfId="13" priority="336" operator="greaterThan">
      <formula>0.5</formula>
    </cfRule>
    <cfRule type="cellIs" dxfId="12" priority="335" operator="lessThan">
      <formula>0.5</formula>
    </cfRule>
  </conditionalFormatting>
  <conditionalFormatting sqref="K2:O2">
    <cfRule type="cellIs" dxfId="11" priority="334" operator="greaterThan">
      <formula>0.5</formula>
    </cfRule>
    <cfRule type="cellIs" dxfId="10" priority="333" operator="lessThan">
      <formula>0.5</formula>
    </cfRule>
  </conditionalFormatting>
  <conditionalFormatting sqref="P2:T2">
    <cfRule type="cellIs" dxfId="9" priority="332" operator="greaterThan">
      <formula>0.5</formula>
    </cfRule>
    <cfRule type="cellIs" dxfId="8" priority="331" operator="lessThan">
      <formula>0.5</formula>
    </cfRule>
  </conditionalFormatting>
  <conditionalFormatting sqref="U2:Y2">
    <cfRule type="cellIs" dxfId="7" priority="330" operator="greaterThan">
      <formula>0.5</formula>
    </cfRule>
    <cfRule type="cellIs" dxfId="6" priority="329" operator="lessThan">
      <formula>0.5</formula>
    </cfRule>
  </conditionalFormatting>
  <conditionalFormatting sqref="Z2:AD2 Z3 AB3:AD3">
    <cfRule type="cellIs" dxfId="5" priority="328" operator="greaterThan">
      <formula>0.5</formula>
    </cfRule>
    <cfRule type="cellIs" dxfId="4" priority="327" operator="lessThan">
      <formula>0.5</formula>
    </cfRule>
  </conditionalFormatting>
  <conditionalFormatting sqref="Z3 AB3:AD3">
    <cfRule type="cellIs" dxfId="3" priority="318" operator="greaterThan">
      <formula>0.5</formula>
    </cfRule>
    <cfRule type="cellIs" dxfId="2" priority="317" operator="lessThan">
      <formula>0.5</formula>
    </cfRule>
  </conditionalFormatting>
  <pageMargins left="0.7" right="0.7" top="0.75" bottom="0.75" header="0.3" footer="0.3"/>
  <pageSetup paperSize="8" orientation="portrait" r:id="rId1"/>
  <headerFooter>
    <oddHeader>&amp;LКононова Виктория Владимировна
&amp;CЛабораторная работа №5&amp;RВариант №6</oddHeader>
    <oddFooter>&amp;C11.12.2022
22:02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C3222E6E4CA49348A19974C3703938A4" ma:contentTypeVersion="2" ma:contentTypeDescription="Создание документа." ma:contentTypeScope="" ma:versionID="c13d22f2e029510e63996f8944414377">
  <xsd:schema xmlns:xsd="http://www.w3.org/2001/XMLSchema" xmlns:xs="http://www.w3.org/2001/XMLSchema" xmlns:p="http://schemas.microsoft.com/office/2006/metadata/properties" xmlns:ns3="8322476c-38cc-44a0-9fb6-eae3819c4604" targetNamespace="http://schemas.microsoft.com/office/2006/metadata/properties" ma:root="true" ma:fieldsID="55872869dedbe6896aa856610f938668" ns3:_="">
    <xsd:import namespace="8322476c-38cc-44a0-9fb6-eae3819c460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22476c-38cc-44a0-9fb6-eae3819c460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BF84794-557A-4674-BC41-729FDF120A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322476c-38cc-44a0-9fb6-eae3819c460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7E3F72D-00AE-4312-A164-9AE5F66E58EC}">
  <ds:schemaRefs>
    <ds:schemaRef ds:uri="http://purl.org/dc/dcmitype/"/>
    <ds:schemaRef ds:uri="http://schemas.microsoft.com/office/2006/metadata/properties"/>
    <ds:schemaRef ds:uri="http://www.w3.org/XML/1998/namespace"/>
    <ds:schemaRef ds:uri="8322476c-38cc-44a0-9fb6-eae3819c4604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D89477C0-3D91-48EC-AEE5-556F73C8FE0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</dc:creator>
  <cp:lastModifiedBy>Liessa</cp:lastModifiedBy>
  <dcterms:created xsi:type="dcterms:W3CDTF">2021-11-23T11:55:28Z</dcterms:created>
  <dcterms:modified xsi:type="dcterms:W3CDTF">2022-12-14T12:19:51Z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0x010100C3222E6E4CA49348A19974C3703938A4</vt:lpwstr>
  </property>
</Properties>
</file>